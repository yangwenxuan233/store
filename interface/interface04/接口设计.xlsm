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ython接口自动化测试\软件\"/>
    </mc:Choice>
  </mc:AlternateContent>
  <bookViews>
    <workbookView xWindow="-120" yWindow="-120" windowWidth="20730" windowHeight="11295" tabRatio="847" firstSheet="7" activeTab="7"/>
  </bookViews>
  <sheets>
    <sheet name="接口规约" sheetId="461" r:id="rId1"/>
    <sheet name="所有表基础接口" sheetId="462" r:id="rId2"/>
    <sheet name="使用系统生成接口一览" sheetId="467" r:id="rId3"/>
    <sheet name="画面接口" sheetId="1" r:id="rId4"/>
    <sheet name="接口一览" sheetId="393" r:id="rId5"/>
    <sheet name="模版_template" sheetId="466" r:id="rId6"/>
    <sheet name="登录" sheetId="568" r:id="rId7"/>
    <sheet name="删除角色" sheetId="570" r:id="rId8"/>
    <sheet name="查询角色" sheetId="569" r:id="rId9"/>
    <sheet name="增加角色" sheetId="571" r:id="rId10"/>
    <sheet name="根据id查询角色" sheetId="572" r:id="rId11"/>
    <sheet name="编辑角色" sheetId="573" r:id="rId12"/>
    <sheet name="查询用户" sheetId="574" r:id="rId13"/>
    <sheet name="删除用户" sheetId="575" r:id="rId14"/>
    <sheet name="增加用户" sheetId="576" r:id="rId15"/>
    <sheet name="根据id查询用户" sheetId="577" r:id="rId16"/>
    <sheet name="编辑用户" sheetId="578" r:id="rId17"/>
    <sheet name="查询权限设置" sheetId="579" r:id="rId18"/>
    <sheet name="会员卡充值" sheetId="580" r:id="rId19"/>
    <sheet name="会员卡余额详情查询" sheetId="581" r:id="rId20"/>
    <sheet name="会员卡梯度查询" sheetId="582" r:id="rId21"/>
    <sheet name="会员卡新增梯度" sheetId="583" r:id="rId22"/>
    <sheet name="会员卡删除梯度" sheetId="584" r:id="rId23"/>
    <sheet name="根据id查询会员卡梯度详情" sheetId="585" r:id="rId24"/>
    <sheet name="会员卡编辑梯度" sheetId="586" r:id="rId25"/>
    <sheet name="会员卡梯度提示语查询" sheetId="587" r:id="rId26"/>
    <sheet name="会员卡新增提示语" sheetId="588" r:id="rId27"/>
    <sheet name="会员卡删除提示语" sheetId="589" r:id="rId28"/>
    <sheet name="根据id查询会员卡提示语详情" sheetId="590" r:id="rId29"/>
    <sheet name="会员卡编辑提示语" sheetId="591" r:id="rId30"/>
    <sheet name="会员卡购买记录查询" sheetId="593" r:id="rId31"/>
  </sheets>
  <externalReferences>
    <externalReference r:id="rId32"/>
  </externalReferences>
  <definedNames>
    <definedName name="_xlnm._FilterDatabase" localSheetId="3" hidden="1">画面接口!#REF!</definedName>
    <definedName name="_xlnm._FilterDatabase" localSheetId="4" hidden="1">接口一览!$A$3:$K$3</definedName>
    <definedName name="_xlnm._FilterDatabase" localSheetId="2" hidden="1">使用系统生成接口一览!$A$1:$L$1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5" i="593" l="1"/>
  <c r="C24" i="593"/>
  <c r="C25" i="591"/>
  <c r="C24" i="591"/>
  <c r="C25" i="590"/>
  <c r="C24" i="590"/>
  <c r="C25" i="589"/>
  <c r="C24" i="589"/>
  <c r="C25" i="588"/>
  <c r="C24" i="588"/>
  <c r="C25" i="587"/>
  <c r="C24" i="587"/>
  <c r="C25" i="586"/>
  <c r="C24" i="586"/>
  <c r="C25" i="585"/>
  <c r="C24" i="585"/>
  <c r="C25" i="584"/>
  <c r="C24" i="584"/>
  <c r="C25" i="583"/>
  <c r="C24" i="583"/>
  <c r="C25" i="582"/>
  <c r="C24" i="582"/>
  <c r="C25" i="581"/>
  <c r="C24" i="581"/>
  <c r="C25" i="580"/>
  <c r="C24" i="580"/>
  <c r="C25" i="579"/>
  <c r="C24" i="579"/>
  <c r="C25" i="578"/>
  <c r="C24" i="578"/>
  <c r="C25" i="577"/>
  <c r="C24" i="577"/>
  <c r="C25" i="576"/>
  <c r="C24" i="576"/>
  <c r="C25" i="575"/>
  <c r="C24" i="575"/>
  <c r="C25" i="574"/>
  <c r="C24" i="574"/>
  <c r="C25" i="573"/>
  <c r="C24" i="573"/>
  <c r="C25" i="572"/>
  <c r="C24" i="572"/>
  <c r="C25" i="571"/>
  <c r="C24" i="571"/>
  <c r="C25" i="569"/>
  <c r="C24" i="569"/>
  <c r="C25" i="570"/>
  <c r="C24" i="570"/>
  <c r="C25" i="466"/>
  <c r="C24" i="466"/>
  <c r="A83" i="393"/>
  <c r="A82" i="393"/>
  <c r="A81" i="393"/>
  <c r="A80" i="393"/>
  <c r="A79" i="393"/>
  <c r="A78" i="393"/>
  <c r="A77" i="393"/>
  <c r="A76" i="393"/>
  <c r="A75" i="393"/>
  <c r="A74" i="393"/>
  <c r="A73" i="393"/>
  <c r="A72" i="393"/>
  <c r="A71" i="393"/>
  <c r="A70" i="393"/>
  <c r="A69" i="393"/>
  <c r="A68" i="393"/>
  <c r="A67" i="393"/>
  <c r="A66" i="393"/>
  <c r="A65" i="393"/>
  <c r="A64" i="393"/>
  <c r="A63" i="393"/>
  <c r="A62" i="393"/>
  <c r="A61" i="393"/>
  <c r="A60" i="393"/>
  <c r="A59" i="393"/>
  <c r="A58" i="393"/>
  <c r="A57" i="393"/>
  <c r="A56" i="393"/>
  <c r="A55" i="393"/>
  <c r="A54" i="393"/>
  <c r="A53" i="393"/>
  <c r="A52" i="393"/>
  <c r="A51" i="393"/>
  <c r="A50" i="393"/>
  <c r="A49" i="393"/>
  <c r="A48" i="393"/>
  <c r="A47" i="393"/>
  <c r="A46" i="393"/>
  <c r="A45" i="393"/>
  <c r="A44" i="393"/>
  <c r="A43" i="393"/>
  <c r="A42" i="393"/>
  <c r="A41" i="393"/>
  <c r="A40" i="393"/>
  <c r="A39" i="393"/>
  <c r="A38" i="393"/>
  <c r="A37" i="393"/>
  <c r="A36" i="393"/>
  <c r="A35" i="393"/>
  <c r="A34" i="393"/>
  <c r="A33" i="393"/>
  <c r="A32" i="393"/>
  <c r="A31" i="393"/>
  <c r="A30" i="393"/>
  <c r="A29" i="393"/>
  <c r="A28" i="393"/>
  <c r="A27" i="393"/>
  <c r="A26" i="393"/>
  <c r="A25" i="393"/>
  <c r="A24" i="393"/>
  <c r="A23" i="393"/>
  <c r="A22" i="393"/>
  <c r="A21" i="393"/>
  <c r="A20" i="393"/>
  <c r="A19" i="393"/>
  <c r="A18" i="393"/>
  <c r="A17" i="393"/>
  <c r="A16" i="393"/>
  <c r="A15" i="393"/>
  <c r="A14" i="393"/>
  <c r="A13" i="393"/>
  <c r="A12" i="393"/>
  <c r="A11" i="393"/>
  <c r="A10" i="393"/>
  <c r="A9" i="393"/>
  <c r="A8" i="393"/>
  <c r="A7" i="393"/>
  <c r="A6" i="393"/>
  <c r="A5" i="393"/>
  <c r="A4" i="393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  <c r="C233" i="462"/>
  <c r="C232" i="462"/>
  <c r="C215" i="462"/>
  <c r="C197" i="462"/>
  <c r="C196" i="462"/>
  <c r="C179" i="462"/>
  <c r="C161" i="462"/>
  <c r="C160" i="462"/>
  <c r="C145" i="462"/>
  <c r="C127" i="462"/>
  <c r="C126" i="462"/>
  <c r="C111" i="462"/>
  <c r="C99" i="462"/>
  <c r="C98" i="462"/>
  <c r="C86" i="462"/>
  <c r="C75" i="462"/>
  <c r="C74" i="462"/>
  <c r="C58" i="462"/>
  <c r="C47" i="462"/>
  <c r="C46" i="462"/>
  <c r="C35" i="462"/>
  <c r="C24" i="462"/>
  <c r="C23" i="462"/>
  <c r="C8" i="462"/>
</calcChain>
</file>

<file path=xl/sharedStrings.xml><?xml version="1.0" encoding="utf-8"?>
<sst xmlns="http://schemas.openxmlformats.org/spreadsheetml/2006/main" count="2056" uniqueCount="371">
  <si>
    <t>1：前台接口必传参数</t>
  </si>
  <si>
    <t>参数名称</t>
  </si>
  <si>
    <t>参数意义</t>
  </si>
  <si>
    <t>curUserId</t>
  </si>
  <si>
    <t>当前登录用户的ID</t>
  </si>
  <si>
    <t>curLoginName</t>
  </si>
  <si>
    <t>当前登录用户的登录名</t>
  </si>
  <si>
    <r>
      <rPr>
        <sz val="11"/>
        <color theme="1"/>
        <rFont val="宋体"/>
        <family val="3"/>
        <charset val="134"/>
      </rPr>
      <t>cur</t>
    </r>
    <r>
      <rPr>
        <sz val="11"/>
        <color theme="1"/>
        <rFont val="宋体"/>
        <family val="3"/>
        <charset val="134"/>
      </rPr>
      <t>C</t>
    </r>
    <r>
      <rPr>
        <sz val="11"/>
        <color theme="1"/>
        <rFont val="宋体"/>
        <family val="3"/>
        <charset val="134"/>
      </rPr>
      <t>ompanyId</t>
    </r>
  </si>
  <si>
    <t>当前登录用户的企业ID</t>
  </si>
  <si>
    <t>qhCompanyId</t>
  </si>
  <si>
    <t>当前选择的企业ID</t>
  </si>
  <si>
    <t>logBusinessNoduleName</t>
  </si>
  <si>
    <t>前端传：登陆;配置;监控;告警;业务;我的工作台;统计分析;日志管理;系统管理;</t>
  </si>
  <si>
    <t>dpc_menu_tab 0  登录
dpc_menu_tab 1  我的工作台
dpc_menu_tab 2  配置
dpc_menu_tab 3  监控
dpc_menu_tab 4  告警
dpc_menu_tab 5  业务
dpc_menu_tab 6  报表
dpc_menu_tab 7  统计分析
dpc_menu_tab 8  日志管理</t>
  </si>
  <si>
    <t>logFrameName</t>
  </si>
  <si>
    <t>前端传：日志发生的画面</t>
  </si>
  <si>
    <t>传递画面编码,编码见：【画面编码】Sheet页</t>
  </si>
  <si>
    <t>logBusinessType</t>
  </si>
  <si>
    <t>前端传：操作名称：例 修改操作；下发等</t>
  </si>
  <si>
    <t>base_action 0  新增
base_action 1  修改
base_action 2  筛选
base_action 3  删除
base_action 4  提交
base_action 5  取消
base_action 6  上传文件
base_action 7  复制
base_action 8  重命名
base_action 9  排序
base_action 10  导入
base_action 11  导出文件
base_action 12  上传图片
base_action 13  清除
base_action 14  加载离线地图
base_action 15  删除离线地图
base_action 16  放大图片
base_action 17  缩小图片
base_action 18  导出图片
base_action 19  审核
base_action 20  查询
base_action 21  初始化</t>
  </si>
  <si>
    <t>logJsFunctioname</t>
  </si>
  <si>
    <t>前端传：js函数名</t>
  </si>
  <si>
    <t>2：前台接口名称和参数不能包含的字段</t>
  </si>
  <si>
    <t>insert</t>
  </si>
  <si>
    <t>delete</t>
  </si>
  <si>
    <t>update</t>
  </si>
  <si>
    <t>drop</t>
  </si>
  <si>
    <t>declare</t>
  </si>
  <si>
    <t>接口名称</t>
  </si>
  <si>
    <t>新增</t>
  </si>
  <si>
    <t>接口英文名称</t>
  </si>
  <si>
    <r>
      <rPr>
        <sz val="11"/>
        <color theme="1"/>
        <rFont val="宋体"/>
        <family val="3"/>
        <charset val="134"/>
      </rPr>
      <t>{</t>
    </r>
    <r>
      <rPr>
        <sz val="11"/>
        <color theme="1"/>
        <rFont val="宋体"/>
        <family val="3"/>
        <charset val="134"/>
      </rPr>
      <t>className}/save{className}</t>
    </r>
  </si>
  <si>
    <t>请求方式</t>
  </si>
  <si>
    <t>POST</t>
  </si>
  <si>
    <t>接口说明</t>
  </si>
  <si>
    <t>基础新增接口</t>
  </si>
  <si>
    <t>关联数据库</t>
  </si>
  <si>
    <t>调用参数</t>
  </si>
  <si>
    <t>名称</t>
  </si>
  <si>
    <t>英文名称</t>
  </si>
  <si>
    <t>类型</t>
  </si>
  <si>
    <t>说明</t>
  </si>
  <si>
    <t>当前登录用户ID</t>
  </si>
  <si>
    <t>String</t>
  </si>
  <si>
    <t>必传</t>
  </si>
  <si>
    <t>当前登录用户名</t>
  </si>
  <si>
    <t>企业ID</t>
  </si>
  <si>
    <t>curCompanyId</t>
  </si>
  <si>
    <t>业务模块名称</t>
  </si>
  <si>
    <t>画面名称</t>
  </si>
  <si>
    <t>业务类型</t>
  </si>
  <si>
    <t>js函数名称</t>
  </si>
  <si>
    <t>属性1</t>
  </si>
  <si>
    <t>属性2</t>
  </si>
  <si>
    <t>属性3</t>
  </si>
  <si>
    <t>属性4</t>
  </si>
  <si>
    <t>……</t>
  </si>
  <si>
    <t>调用例</t>
  </si>
  <si>
    <t>https://localhost:8080/项目名称/{className}/save{className}</t>
  </si>
  <si>
    <t>返回值</t>
  </si>
  <si>
    <t>执行结果Code</t>
  </si>
  <si>
    <t>正常：2000</t>
  </si>
  <si>
    <t>执行结果信息</t>
  </si>
  <si>
    <t>code&lt;&gt;2000时画面显示</t>
  </si>
  <si>
    <t>返回例</t>
  </si>
  <si>
    <t>{code:2000,msg:OK}</t>
  </si>
  <si>
    <t>删除</t>
  </si>
  <si>
    <t>{className}/del{className}</t>
  </si>
  <si>
    <t>基础删除接口</t>
  </si>
  <si>
    <t>ids</t>
  </si>
  <si>
    <t>单体或批量删除,id用逗号分割</t>
  </si>
  <si>
    <t>https://localhost:8080/项目名称/{className}/del{className}</t>
  </si>
  <si>
    <t>更新</t>
  </si>
  <si>
    <t>{className}/upd{className}</t>
  </si>
  <si>
    <t>基础更新接口</t>
  </si>
  <si>
    <t>实体ID</t>
  </si>
  <si>
    <t>https://localhost:8080/项目名称/{className}/upd{className}</t>
  </si>
  <si>
    <t>根据ID查询</t>
  </si>
  <si>
    <t>{className}/get{className}ById</t>
  </si>
  <si>
    <t>基础根据ID查询接口</t>
  </si>
  <si>
    <t>id</t>
  </si>
  <si>
    <t>https://localhost:8080/项目名称/{className}/get{className}ById</t>
  </si>
  <si>
    <t>执行结果数据</t>
  </si>
  <si>
    <t>data</t>
  </si>
  <si>
    <t>Object</t>
  </si>
  <si>
    <t>{code:2000,msg:OK,data:{}}</t>
  </si>
  <si>
    <t>查询全部（以实体形式返回）</t>
  </si>
  <si>
    <t>{className}/findAll{className}</t>
  </si>
  <si>
    <t>基础查询全部接口</t>
  </si>
  <si>
    <t>实际情况带基础属性查询条件</t>
  </si>
  <si>
    <t>https://localhost:8080/项目名称/{className}/findAll{className}</t>
  </si>
  <si>
    <t>总条数</t>
  </si>
  <si>
    <t>count</t>
  </si>
  <si>
    <t xml:space="preserve">   dataList</t>
  </si>
  <si>
    <t>Array</t>
  </si>
  <si>
    <r>
      <rPr>
        <sz val="11"/>
        <color theme="1"/>
        <rFont val="宋体"/>
        <family val="3"/>
        <charset val="134"/>
      </rPr>
      <t xml:space="preserve"> </t>
    </r>
    <r>
      <rPr>
        <sz val="11"/>
        <color theme="1"/>
        <rFont val="宋体"/>
        <family val="3"/>
        <charset val="134"/>
      </rPr>
      <t xml:space="preserve">     属性1</t>
    </r>
  </si>
  <si>
    <r>
      <rPr>
        <sz val="11"/>
        <color theme="1"/>
        <rFont val="宋体"/>
        <family val="3"/>
        <charset val="134"/>
      </rPr>
      <t xml:space="preserve"> </t>
    </r>
    <r>
      <rPr>
        <sz val="11"/>
        <color theme="1"/>
        <rFont val="宋体"/>
        <family val="3"/>
        <charset val="134"/>
      </rPr>
      <t xml:space="preserve">     属性2</t>
    </r>
  </si>
  <si>
    <r>
      <rPr>
        <sz val="11"/>
        <color theme="1"/>
        <rFont val="宋体"/>
        <family val="3"/>
        <charset val="134"/>
      </rPr>
      <t xml:space="preserve"> </t>
    </r>
    <r>
      <rPr>
        <sz val="11"/>
        <color theme="1"/>
        <rFont val="宋体"/>
        <family val="3"/>
        <charset val="134"/>
      </rPr>
      <t xml:space="preserve">     属性3</t>
    </r>
  </si>
  <si>
    <r>
      <rPr>
        <sz val="11"/>
        <color theme="1"/>
        <rFont val="宋体"/>
        <family val="3"/>
        <charset val="134"/>
      </rPr>
      <t xml:space="preserve"> </t>
    </r>
    <r>
      <rPr>
        <sz val="11"/>
        <color theme="1"/>
        <rFont val="宋体"/>
        <family val="3"/>
        <charset val="134"/>
      </rPr>
      <t xml:space="preserve">     属性4</t>
    </r>
  </si>
  <si>
    <t xml:space="preserve">      ……</t>
  </si>
  <si>
    <t>{code:2000,msg:OK,count:100,data:{dataList:[{}]}}</t>
  </si>
  <si>
    <t>查询全部(以Map形式返回)</t>
  </si>
  <si>
    <t>{className}/findAllListMap{className}</t>
  </si>
  <si>
    <t>接口名称+B1B172:E195</t>
  </si>
  <si>
    <t>分页查询（以实体形式）</t>
  </si>
  <si>
    <t>{className}/findAll{className}ByPage</t>
  </si>
  <si>
    <t>当前页</t>
  </si>
  <si>
    <t>currentPage</t>
  </si>
  <si>
    <t>默认1</t>
  </si>
  <si>
    <t>一页显示多少条</t>
  </si>
  <si>
    <t>pageSize</t>
  </si>
  <si>
    <t>默认10</t>
  </si>
  <si>
    <t>https://localhost:8080/项目名称/{className}/findAll{className}ByPage</t>
  </si>
  <si>
    <t>分页查询(以Map形式返回)</t>
  </si>
  <si>
    <t>{className}/findAllListMap{className}ByPage</t>
  </si>
  <si>
    <t>https://localhost:8080/项目名称/{className}/findAllListMap{className}ByPage</t>
  </si>
  <si>
    <t>No.</t>
  </si>
  <si>
    <t>大模块</t>
  </si>
  <si>
    <t>中模块</t>
  </si>
  <si>
    <t>画面</t>
  </si>
  <si>
    <t>事件</t>
  </si>
  <si>
    <t>接口URL</t>
  </si>
  <si>
    <t>是否疏通测试完成</t>
  </si>
  <si>
    <t>ACTIVITI业务</t>
  </si>
  <si>
    <t>No</t>
  </si>
  <si>
    <t>小模块</t>
  </si>
  <si>
    <t>接口英文</t>
  </si>
  <si>
    <t>接口地址</t>
  </si>
  <si>
    <t>设计完成日</t>
  </si>
  <si>
    <t>是否完成</t>
  </si>
  <si>
    <t>功能描述</t>
  </si>
  <si>
    <t>备考</t>
  </si>
  <si>
    <t>登录</t>
  </si>
  <si>
    <t>点击登录</t>
  </si>
  <si>
    <t>login</t>
  </si>
  <si>
    <t>/user/login</t>
  </si>
  <si>
    <t>用户基础表</t>
  </si>
  <si>
    <t>角色</t>
  </si>
  <si>
    <t>查询角色</t>
  </si>
  <si>
    <t>点击查询角色</t>
  </si>
  <si>
    <t>queryRoleList</t>
  </si>
  <si>
    <t>/user/queryRoleList</t>
  </si>
  <si>
    <t>角色表</t>
  </si>
  <si>
    <t>删除角色</t>
  </si>
  <si>
    <t>点击删除角色</t>
  </si>
  <si>
    <t>delRole</t>
  </si>
  <si>
    <t>/user/delRole</t>
  </si>
  <si>
    <t>增加角色</t>
  </si>
  <si>
    <t>点击增加角色</t>
  </si>
  <si>
    <t>saveRole</t>
  </si>
  <si>
    <t>/user/saveRole</t>
  </si>
  <si>
    <t>根据id查询角色</t>
  </si>
  <si>
    <t>点击根据id查询角色</t>
  </si>
  <si>
    <t>getRoleById</t>
  </si>
  <si>
    <t>/user/getRoleById</t>
  </si>
  <si>
    <t>编辑角色</t>
  </si>
  <si>
    <t>点击编辑角色</t>
  </si>
  <si>
    <t>updRole</t>
  </si>
  <si>
    <t>/user/updRole</t>
  </si>
  <si>
    <t>用户</t>
  </si>
  <si>
    <t>查询用户</t>
  </si>
  <si>
    <t>点击查询用户</t>
  </si>
  <si>
    <t>queryUserList</t>
  </si>
  <si>
    <t>/user/queryUserList</t>
  </si>
  <si>
    <t>用户表</t>
  </si>
  <si>
    <t>删除用户</t>
  </si>
  <si>
    <t>点击删除用户</t>
  </si>
  <si>
    <t>delUser</t>
  </si>
  <si>
    <t>/user/delUserRole</t>
  </si>
  <si>
    <t>增加用户</t>
  </si>
  <si>
    <t>点击增加用户</t>
  </si>
  <si>
    <t>saveUser</t>
  </si>
  <si>
    <t>/user/saveUser</t>
  </si>
  <si>
    <t>根据id查询用户</t>
  </si>
  <si>
    <t>点击根据id查询用户</t>
  </si>
  <si>
    <t>getUserById</t>
  </si>
  <si>
    <t>/user/getUserById</t>
  </si>
  <si>
    <t>编辑用户</t>
  </si>
  <si>
    <t>点击编辑用户</t>
  </si>
  <si>
    <t>updUser</t>
  </si>
  <si>
    <t>/user/updUser</t>
  </si>
  <si>
    <t>权限</t>
  </si>
  <si>
    <t>查询权限设置</t>
  </si>
  <si>
    <t>点击查询权限设置</t>
  </si>
  <si>
    <t>queryPermitList</t>
  </si>
  <si>
    <t>/user/queryPermitList</t>
  </si>
  <si>
    <t>权限表</t>
  </si>
  <si>
    <t>会员卡</t>
  </si>
  <si>
    <t>会员卡充值</t>
  </si>
  <si>
    <t>点击会员卡充值</t>
  </si>
  <si>
    <t>saveCardRecharge</t>
  </si>
  <si>
    <t>/membershipcard/saveCardRecharge</t>
  </si>
  <si>
    <t>会员卡表</t>
  </si>
  <si>
    <t>会员卡余额详情查询</t>
  </si>
  <si>
    <t>点击会员卡余额详情查询</t>
  </si>
  <si>
    <t>queryCardDetail</t>
  </si>
  <si>
    <t>/membershipcard/queryCardDetail</t>
  </si>
  <si>
    <t>会员卡余额详情表</t>
  </si>
  <si>
    <t>会员卡梯度查询</t>
  </si>
  <si>
    <t>点击会员卡梯度查询</t>
  </si>
  <si>
    <t>queryCardGradient</t>
  </si>
  <si>
    <t>/membershipcard/queryCardGradient</t>
  </si>
  <si>
    <t>会员卡砍价梯度表</t>
  </si>
  <si>
    <t>会员卡新增梯度</t>
  </si>
  <si>
    <t>/membershipcard/saveCardGradient</t>
  </si>
  <si>
    <t>会员卡砍价梯度表，会员卡砍价梯度提示语</t>
  </si>
  <si>
    <t>会员卡删除梯度</t>
  </si>
  <si>
    <t>点击会员卡删除梯度</t>
  </si>
  <si>
    <t>delCardRecharge</t>
  </si>
  <si>
    <t>/membershipcard/delCardGradient</t>
  </si>
  <si>
    <t>根据id查询会员卡梯度详情</t>
  </si>
  <si>
    <t>点击根据id查询会员卡梯度详情</t>
  </si>
  <si>
    <t>getCardRechargeById</t>
  </si>
  <si>
    <t>/membershipcard/getCardRechargeById</t>
  </si>
  <si>
    <t>会员卡编辑梯度</t>
  </si>
  <si>
    <t>点击会员卡编辑梯度</t>
  </si>
  <si>
    <t>updCardRecharge</t>
  </si>
  <si>
    <t>/membershipcard/updCardRecharge</t>
  </si>
  <si>
    <t>会员卡梯度提示语查询</t>
  </si>
  <si>
    <t>点击会员卡梯度提示语查询</t>
  </si>
  <si>
    <t>queryCardTips</t>
  </si>
  <si>
    <t>/membershipcard/queryCardTips</t>
  </si>
  <si>
    <t>会员卡砍价梯度提示语表</t>
  </si>
  <si>
    <t>会员卡新增提示语</t>
  </si>
  <si>
    <t>点击会员卡新增提示语</t>
  </si>
  <si>
    <t>saveCardTips</t>
  </si>
  <si>
    <t>/membershipcard/saveCardTips</t>
  </si>
  <si>
    <t>会员卡删除提示语</t>
  </si>
  <si>
    <t>点击会员卡删除提示语</t>
  </si>
  <si>
    <t>delCardTips</t>
  </si>
  <si>
    <t>/membershipcard/delCardTips</t>
  </si>
  <si>
    <t>根据id查询会员卡提示语详情</t>
  </si>
  <si>
    <t>点击根据id查询会员卡提示语详情</t>
  </si>
  <si>
    <t>getCardTipsById</t>
  </si>
  <si>
    <t>/membershipcard/getCardTipsById</t>
  </si>
  <si>
    <t>会员卡编辑提示语</t>
  </si>
  <si>
    <t>点击会员卡编辑提示语</t>
  </si>
  <si>
    <t>updCardTips</t>
  </si>
  <si>
    <t>/membershipcard/updCardTips</t>
  </si>
  <si>
    <t>会员卡购买记录查询</t>
  </si>
  <si>
    <t>点击会员卡购买记录查询</t>
  </si>
  <si>
    <t>queryCareRecord</t>
  </si>
  <si>
    <t>/membershipcard/queryCareRecord</t>
  </si>
  <si>
    <t>会员卡砍价，赞助，实际支付记录</t>
  </si>
  <si>
    <t>开发标准：完成代码，完成代码审查（请李建军），完成测试数据，完成测试，完成测试结果文档</t>
  </si>
  <si>
    <t>接口英文名成</t>
  </si>
  <si>
    <t>开发人</t>
  </si>
  <si>
    <t>开始时间</t>
  </si>
  <si>
    <t>完成时间</t>
  </si>
  <si>
    <t>模版_template</t>
  </si>
  <si>
    <t>getTemplate</t>
  </si>
  <si>
    <t>template/getTemplate</t>
  </si>
  <si>
    <r>
      <rPr>
        <sz val="11"/>
        <color theme="1"/>
        <rFont val="宋体"/>
        <family val="3"/>
        <charset val="134"/>
        <scheme val="minor"/>
      </rPr>
      <t>P</t>
    </r>
    <r>
      <rPr>
        <sz val="11"/>
        <color theme="1"/>
        <rFont val="宋体"/>
        <family val="3"/>
        <charset val="134"/>
        <scheme val="minor"/>
      </rPr>
      <t>OST</t>
    </r>
  </si>
  <si>
    <t>/membershipcard/queryCardDetail/queryCardDetail</t>
  </si>
  <si>
    <t>用户TOKEN</t>
  </si>
  <si>
    <t>token</t>
  </si>
  <si>
    <t>用户名</t>
  </si>
  <si>
    <r>
      <rPr>
        <sz val="11"/>
        <color theme="1"/>
        <rFont val="宋体"/>
        <family val="3"/>
        <charset val="134"/>
        <scheme val="minor"/>
      </rPr>
      <t>user</t>
    </r>
    <r>
      <rPr>
        <sz val="11"/>
        <color theme="1"/>
        <rFont val="宋体"/>
        <family val="3"/>
        <charset val="134"/>
        <scheme val="minor"/>
      </rPr>
      <t>_name</t>
    </r>
  </si>
  <si>
    <r>
      <rPr>
        <sz val="11"/>
        <color theme="1"/>
        <rFont val="宋体"/>
        <family val="3"/>
        <charset val="134"/>
        <scheme val="minor"/>
      </rPr>
      <t>S</t>
    </r>
    <r>
      <rPr>
        <sz val="11"/>
        <color theme="1"/>
        <rFont val="宋体"/>
        <family val="3"/>
        <charset val="134"/>
        <scheme val="minor"/>
      </rPr>
      <t>tring</t>
    </r>
  </si>
  <si>
    <t>密码</t>
  </si>
  <si>
    <t>password</t>
  </si>
  <si>
    <t>角色id</t>
  </si>
  <si>
    <r>
      <rPr>
        <sz val="11"/>
        <color theme="1"/>
        <rFont val="宋体"/>
        <family val="3"/>
        <charset val="134"/>
        <scheme val="minor"/>
      </rPr>
      <t>i</t>
    </r>
    <r>
      <rPr>
        <sz val="11"/>
        <color theme="1"/>
        <rFont val="宋体"/>
        <family val="3"/>
        <charset val="134"/>
        <scheme val="minor"/>
      </rPr>
      <t>d</t>
    </r>
  </si>
  <si>
    <t>角色状态</t>
  </si>
  <si>
    <t>status</t>
  </si>
  <si>
    <t>int</t>
  </si>
  <si>
    <t>状态，0，正常，1，禁用，2，删除</t>
  </si>
  <si>
    <r>
      <rPr>
        <sz val="11"/>
        <color theme="1"/>
        <rFont val="宋体"/>
        <family val="3"/>
        <charset val="134"/>
        <scheme val="minor"/>
      </rPr>
      <t>query</t>
    </r>
    <r>
      <rPr>
        <sz val="11"/>
        <color theme="1"/>
        <rFont val="宋体"/>
        <family val="3"/>
        <charset val="134"/>
        <scheme val="minor"/>
      </rPr>
      <t>Role</t>
    </r>
    <r>
      <rPr>
        <sz val="11"/>
        <color theme="1"/>
        <rFont val="宋体"/>
        <family val="3"/>
        <charset val="134"/>
        <scheme val="minor"/>
      </rPr>
      <t>List</t>
    </r>
  </si>
  <si>
    <t>权限名称</t>
  </si>
  <si>
    <t>name</t>
  </si>
  <si>
    <r>
      <rPr>
        <sz val="11"/>
        <color theme="1"/>
        <rFont val="宋体"/>
        <family val="3"/>
        <charset val="134"/>
        <scheme val="minor"/>
      </rPr>
      <t>S</t>
    </r>
    <r>
      <rPr>
        <sz val="11"/>
        <color theme="1"/>
        <rFont val="宋体"/>
        <family val="3"/>
        <charset val="134"/>
        <scheme val="minor"/>
      </rPr>
      <t xml:space="preserve">tring </t>
    </r>
  </si>
  <si>
    <r>
      <rPr>
        <sz val="11"/>
        <color theme="1"/>
        <rFont val="宋体"/>
        <family val="3"/>
        <charset val="134"/>
        <scheme val="minor"/>
      </rPr>
      <t>c</t>
    </r>
    <r>
      <rPr>
        <sz val="11"/>
        <color theme="1"/>
        <rFont val="宋体"/>
        <family val="3"/>
        <charset val="134"/>
        <scheme val="minor"/>
      </rPr>
      <t>ode</t>
    </r>
  </si>
  <si>
    <t>code</t>
  </si>
  <si>
    <t>唯一</t>
  </si>
  <si>
    <t>状态</t>
  </si>
  <si>
    <r>
      <rPr>
        <sz val="11"/>
        <color theme="1"/>
        <rFont val="宋体"/>
        <family val="3"/>
        <charset val="134"/>
        <scheme val="minor"/>
      </rPr>
      <t>I</t>
    </r>
    <r>
      <rPr>
        <sz val="11"/>
        <color theme="1"/>
        <rFont val="宋体"/>
        <family val="3"/>
        <charset val="134"/>
        <scheme val="minor"/>
      </rPr>
      <t>nteger</t>
    </r>
  </si>
  <si>
    <r>
      <rPr>
        <sz val="11"/>
        <color theme="1"/>
        <rFont val="宋体"/>
        <family val="3"/>
        <charset val="134"/>
        <scheme val="minor"/>
      </rPr>
      <t>S</t>
    </r>
    <r>
      <rPr>
        <sz val="11"/>
        <color theme="1"/>
        <rFont val="宋体"/>
        <family val="3"/>
        <charset val="134"/>
        <scheme val="minor"/>
      </rPr>
      <t>trinng</t>
    </r>
  </si>
  <si>
    <t>用户id</t>
  </si>
  <si>
    <r>
      <rPr>
        <sz val="11"/>
        <color theme="1"/>
        <rFont val="宋体"/>
        <family val="3"/>
        <charset val="134"/>
        <scheme val="minor"/>
      </rPr>
      <t>i</t>
    </r>
    <r>
      <rPr>
        <sz val="11"/>
        <color theme="1"/>
        <rFont val="宋体"/>
        <family val="3"/>
        <charset val="134"/>
        <scheme val="minor"/>
      </rPr>
      <t xml:space="preserve">d </t>
    </r>
  </si>
  <si>
    <r>
      <rPr>
        <sz val="11"/>
        <color theme="1"/>
        <rFont val="宋体"/>
        <family val="3"/>
        <charset val="134"/>
        <scheme val="minor"/>
      </rPr>
      <t>s</t>
    </r>
    <r>
      <rPr>
        <sz val="11"/>
        <color theme="1"/>
        <rFont val="宋体"/>
        <family val="3"/>
        <charset val="134"/>
        <scheme val="minor"/>
      </rPr>
      <t>tatus</t>
    </r>
  </si>
  <si>
    <r>
      <rPr>
        <sz val="11"/>
        <color theme="1"/>
        <rFont val="宋体"/>
        <family val="3"/>
        <charset val="134"/>
        <scheme val="minor"/>
      </rPr>
      <t>i</t>
    </r>
    <r>
      <rPr>
        <sz val="11"/>
        <color theme="1"/>
        <rFont val="宋体"/>
        <family val="3"/>
        <charset val="134"/>
        <scheme val="minor"/>
      </rPr>
      <t>nt</t>
    </r>
  </si>
  <si>
    <t>头像</t>
  </si>
  <si>
    <r>
      <rPr>
        <sz val="11"/>
        <color theme="1"/>
        <rFont val="宋体"/>
        <family val="3"/>
        <charset val="134"/>
        <scheme val="minor"/>
      </rPr>
      <t>img</t>
    </r>
    <r>
      <rPr>
        <sz val="11"/>
        <color theme="1"/>
        <rFont val="宋体"/>
        <family val="3"/>
        <charset val="134"/>
        <scheme val="minor"/>
      </rPr>
      <t>_url</t>
    </r>
  </si>
  <si>
    <t>会员卡最低充值金额price</t>
  </si>
  <si>
    <r>
      <rPr>
        <sz val="11"/>
        <color theme="1"/>
        <rFont val="宋体"/>
        <family val="3"/>
        <charset val="134"/>
        <scheme val="minor"/>
      </rPr>
      <t>D</t>
    </r>
    <r>
      <rPr>
        <sz val="11"/>
        <color theme="1"/>
        <rFont val="宋体"/>
        <family val="3"/>
        <charset val="134"/>
        <scheme val="minor"/>
      </rPr>
      <t>ecimal</t>
    </r>
  </si>
  <si>
    <t>会员卡充值折扣</t>
  </si>
  <si>
    <r>
      <rPr>
        <sz val="11"/>
        <color theme="1"/>
        <rFont val="宋体"/>
        <family val="3"/>
        <charset val="134"/>
        <scheme val="minor"/>
      </rPr>
      <t>dis</t>
    </r>
    <r>
      <rPr>
        <sz val="11"/>
        <color theme="1"/>
        <rFont val="宋体"/>
        <family val="3"/>
        <charset val="134"/>
        <scheme val="minor"/>
      </rPr>
      <t>count</t>
    </r>
  </si>
  <si>
    <r>
      <rPr>
        <sz val="11"/>
        <color theme="1"/>
        <rFont val="宋体"/>
        <family val="3"/>
        <charset val="134"/>
        <scheme val="minor"/>
      </rPr>
      <t>F</t>
    </r>
    <r>
      <rPr>
        <sz val="11"/>
        <color theme="1"/>
        <rFont val="宋体"/>
        <family val="3"/>
        <charset val="134"/>
        <scheme val="minor"/>
      </rPr>
      <t>loat</t>
    </r>
  </si>
  <si>
    <t>砍价有效期</t>
  </si>
  <si>
    <r>
      <rPr>
        <sz val="11"/>
        <color theme="1"/>
        <rFont val="宋体"/>
        <family val="3"/>
        <charset val="134"/>
        <scheme val="minor"/>
      </rPr>
      <t>v</t>
    </r>
    <r>
      <rPr>
        <sz val="11"/>
        <color theme="1"/>
        <rFont val="宋体"/>
        <family val="3"/>
        <charset val="134"/>
        <scheme val="minor"/>
      </rPr>
      <t>a</t>
    </r>
    <r>
      <rPr>
        <sz val="11"/>
        <color theme="1"/>
        <rFont val="宋体"/>
        <family val="3"/>
        <charset val="134"/>
        <scheme val="minor"/>
      </rPr>
      <t>lidity</t>
    </r>
  </si>
  <si>
    <t>退款周期</t>
  </si>
  <si>
    <r>
      <rPr>
        <sz val="11"/>
        <color theme="1"/>
        <rFont val="宋体"/>
        <family val="3"/>
        <charset val="134"/>
        <scheme val="minor"/>
      </rPr>
      <t>fe</t>
    </r>
    <r>
      <rPr>
        <sz val="11"/>
        <color theme="1"/>
        <rFont val="宋体"/>
        <family val="3"/>
        <charset val="134"/>
        <scheme val="minor"/>
      </rPr>
      <t>fund</t>
    </r>
  </si>
  <si>
    <r>
      <rPr>
        <sz val="11"/>
        <color theme="1"/>
        <rFont val="宋体"/>
        <family val="3"/>
        <charset val="134"/>
        <scheme val="minor"/>
      </rPr>
      <t>u</t>
    </r>
    <r>
      <rPr>
        <sz val="11"/>
        <color theme="1"/>
        <rFont val="宋体"/>
        <family val="3"/>
        <charset val="134"/>
        <scheme val="minor"/>
      </rPr>
      <t>ser_id</t>
    </r>
  </si>
  <si>
    <t>日期开始</t>
  </si>
  <si>
    <r>
      <rPr>
        <sz val="11"/>
        <color theme="1"/>
        <rFont val="宋体"/>
        <family val="3"/>
        <charset val="134"/>
        <scheme val="minor"/>
      </rPr>
      <t>start</t>
    </r>
    <r>
      <rPr>
        <sz val="11"/>
        <color theme="1"/>
        <rFont val="宋体"/>
        <family val="3"/>
        <charset val="134"/>
        <scheme val="minor"/>
      </rPr>
      <t>Time</t>
    </r>
  </si>
  <si>
    <t>date</t>
  </si>
  <si>
    <t>日期结束</t>
  </si>
  <si>
    <r>
      <rPr>
        <sz val="11"/>
        <color theme="1"/>
        <rFont val="宋体"/>
        <family val="3"/>
        <charset val="134"/>
        <scheme val="minor"/>
      </rPr>
      <t>e</t>
    </r>
    <r>
      <rPr>
        <sz val="11"/>
        <color theme="1"/>
        <rFont val="宋体"/>
        <family val="3"/>
        <charset val="134"/>
        <scheme val="minor"/>
      </rPr>
      <t>ndTime</t>
    </r>
  </si>
  <si>
    <r>
      <rPr>
        <sz val="11"/>
        <color theme="1"/>
        <rFont val="宋体"/>
        <family val="3"/>
        <charset val="134"/>
        <scheme val="minor"/>
      </rPr>
      <t>d</t>
    </r>
    <r>
      <rPr>
        <sz val="11"/>
        <color theme="1"/>
        <rFont val="宋体"/>
        <family val="3"/>
        <charset val="134"/>
        <scheme val="minor"/>
      </rPr>
      <t>ate</t>
    </r>
  </si>
  <si>
    <t>i</t>
  </si>
  <si>
    <r>
      <rPr>
        <sz val="11"/>
        <color theme="1"/>
        <rFont val="宋体"/>
        <family val="3"/>
        <charset val="134"/>
        <scheme val="minor"/>
      </rPr>
      <t>p</t>
    </r>
    <r>
      <rPr>
        <sz val="11"/>
        <color theme="1"/>
        <rFont val="宋体"/>
        <family val="3"/>
        <charset val="134"/>
        <scheme val="minor"/>
      </rPr>
      <t>age</t>
    </r>
  </si>
  <si>
    <r>
      <rPr>
        <sz val="11"/>
        <color theme="1"/>
        <rFont val="宋体"/>
        <family val="3"/>
        <charset val="134"/>
        <scheme val="minor"/>
      </rPr>
      <t>r</t>
    </r>
    <r>
      <rPr>
        <sz val="11"/>
        <color theme="1"/>
        <rFont val="宋体"/>
        <family val="3"/>
        <charset val="134"/>
        <scheme val="minor"/>
      </rPr>
      <t>ows</t>
    </r>
  </si>
  <si>
    <t>开始名次</t>
  </si>
  <si>
    <t>start</t>
  </si>
  <si>
    <t>结束名次</t>
  </si>
  <si>
    <t>end</t>
  </si>
  <si>
    <t>起始砍价百分比</t>
  </si>
  <si>
    <t>start_percent</t>
  </si>
  <si>
    <t>截止砍价百分比</t>
  </si>
  <si>
    <t>end_percent</t>
  </si>
  <si>
    <t>提示语id</t>
  </si>
  <si>
    <t>梯度id</t>
  </si>
  <si>
    <t>提示语内容</t>
  </si>
  <si>
    <t>content</t>
  </si>
  <si>
    <t>购买日期开始</t>
  </si>
  <si>
    <t>购买日期结束</t>
  </si>
  <si>
    <r>
      <t>http://</t>
    </r>
    <r>
      <rPr>
        <u/>
        <sz val="11"/>
        <color theme="10"/>
        <rFont val="宋体"/>
        <family val="3"/>
        <charset val="134"/>
        <scheme val="minor"/>
      </rPr>
      <t>localhost:8080/HKR/UserServlet</t>
    </r>
    <phoneticPr fontId="38" type="noConversion"/>
  </si>
  <si>
    <t>模版_template</t>
    <phoneticPr fontId="38" type="noConversion"/>
  </si>
  <si>
    <t>用id</t>
    <phoneticPr fontId="38" type="noConversion"/>
  </si>
  <si>
    <r>
      <t>u</t>
    </r>
    <r>
      <rPr>
        <sz val="11"/>
        <color theme="1"/>
        <rFont val="宋体"/>
        <family val="3"/>
        <charset val="134"/>
        <scheme val="minor"/>
      </rPr>
      <t>id</t>
    </r>
    <phoneticPr fontId="38" type="noConversion"/>
  </si>
  <si>
    <r>
      <t>s</t>
    </r>
    <r>
      <rPr>
        <sz val="11"/>
        <color theme="1"/>
        <rFont val="宋体"/>
        <family val="3"/>
        <charset val="134"/>
        <scheme val="minor"/>
      </rPr>
      <t>tring</t>
    </r>
    <phoneticPr fontId="38" type="noConversion"/>
  </si>
  <si>
    <t>必传</t>
    <phoneticPr fontId="38" type="noConversion"/>
  </si>
  <si>
    <t>访问的方法</t>
    <phoneticPr fontId="38" type="noConversion"/>
  </si>
  <si>
    <r>
      <t>find</t>
    </r>
    <r>
      <rPr>
        <sz val="11"/>
        <color theme="1"/>
        <rFont val="宋体"/>
        <family val="3"/>
        <charset val="134"/>
        <scheme val="minor"/>
      </rPr>
      <t>StudentByUid</t>
    </r>
    <phoneticPr fontId="38" type="noConversion"/>
  </si>
  <si>
    <t>与传入的数据相同</t>
    <phoneticPr fontId="38" type="noConversion"/>
  </si>
  <si>
    <t>用户的姓名</t>
    <phoneticPr fontId="38" type="noConversion"/>
  </si>
  <si>
    <t>username</t>
    <phoneticPr fontId="38" type="noConversion"/>
  </si>
  <si>
    <t>通过id查询用户</t>
    <phoneticPr fontId="38" type="noConversion"/>
  </si>
  <si>
    <r>
      <t>g</t>
    </r>
    <r>
      <rPr>
        <sz val="11"/>
        <color theme="1"/>
        <rFont val="宋体"/>
        <family val="3"/>
        <charset val="134"/>
        <scheme val="minor"/>
      </rPr>
      <t>etUserByUid</t>
    </r>
    <phoneticPr fontId="38" type="noConversion"/>
  </si>
  <si>
    <t>用户id</t>
    <phoneticPr fontId="38" type="noConversion"/>
  </si>
  <si>
    <t xml:space="preserve">{uid=s001,username=“张三”}
</t>
    <phoneticPr fontId="38" type="noConversion"/>
  </si>
  <si>
    <t>点击会员卡新增梯度</t>
    <phoneticPr fontId="38" type="noConversion"/>
  </si>
  <si>
    <t>method</t>
  </si>
  <si>
    <t>loginname</t>
  </si>
  <si>
    <t>登录</t>
    <phoneticPr fontId="38" type="noConversion"/>
  </si>
  <si>
    <t>login</t>
    <phoneticPr fontId="38" type="noConversion"/>
  </si>
  <si>
    <t>post</t>
    <phoneticPr fontId="38" type="noConversion"/>
  </si>
  <si>
    <t xml:space="preserve">http://192.168.1.56:8080/HKR/UserServlet </t>
    <phoneticPr fontId="38" type="noConversion"/>
  </si>
  <si>
    <t>这是登录接口</t>
    <phoneticPr fontId="38" type="noConversion"/>
  </si>
  <si>
    <t>t_user</t>
    <phoneticPr fontId="38" type="noConversion"/>
  </si>
  <si>
    <t>方法</t>
    <phoneticPr fontId="38" type="noConversion"/>
  </si>
  <si>
    <t>string字符串</t>
    <phoneticPr fontId="38" type="noConversion"/>
  </si>
  <si>
    <t>必传</t>
    <phoneticPr fontId="38" type="noConversion"/>
  </si>
  <si>
    <t>登录名</t>
    <phoneticPr fontId="38" type="noConversion"/>
  </si>
  <si>
    <t>string字符串</t>
    <phoneticPr fontId="38" type="noConversion"/>
  </si>
  <si>
    <t>必穿</t>
    <phoneticPr fontId="38" type="noConversion"/>
  </si>
  <si>
    <t>密码</t>
    <phoneticPr fontId="38" type="noConversion"/>
  </si>
  <si>
    <t>必传</t>
    <phoneticPr fontId="38" type="noConversion"/>
  </si>
  <si>
    <r>
      <t>可以使用fi</t>
    </r>
    <r>
      <rPr>
        <sz val="11"/>
        <color theme="1"/>
        <rFont val="宋体"/>
        <family val="3"/>
        <charset val="134"/>
        <scheme val="minor"/>
      </rPr>
      <t>ddler断点来判断字段是否是必穿还是非必穿</t>
    </r>
    <phoneticPr fontId="38" type="noConversion"/>
  </si>
  <si>
    <t>返回数据是html页面可以</t>
    <phoneticPr fontId="38" type="noConversion"/>
  </si>
  <si>
    <t>修改头像</t>
    <phoneticPr fontId="38" type="noConversion"/>
  </si>
  <si>
    <t>changePicture</t>
    <phoneticPr fontId="38" type="noConversion"/>
  </si>
  <si>
    <t>POST</t>
    <phoneticPr fontId="38" type="noConversion"/>
  </si>
  <si>
    <t xml:space="preserve">http://192.168.1.56:8080/HKR/UserServlet?method=changePicture </t>
    <phoneticPr fontId="38" type="noConversion"/>
  </si>
  <si>
    <t>这是修改头像的接口</t>
    <phoneticPr fontId="38" type="noConversion"/>
  </si>
  <si>
    <t>用户id</t>
    <phoneticPr fontId="38" type="noConversion"/>
  </si>
  <si>
    <t>uid</t>
    <phoneticPr fontId="38" type="noConversion"/>
  </si>
  <si>
    <r>
      <t>s</t>
    </r>
    <r>
      <rPr>
        <sz val="11"/>
        <color theme="1"/>
        <rFont val="宋体"/>
        <family val="3"/>
        <charset val="134"/>
        <scheme val="minor"/>
      </rPr>
      <t>tring字符串</t>
    </r>
    <phoneticPr fontId="38" type="noConversion"/>
  </si>
  <si>
    <t>必穿</t>
    <phoneticPr fontId="38" type="noConversion"/>
  </si>
  <si>
    <t>头像的id</t>
    <phoneticPr fontId="38" type="noConversion"/>
  </si>
  <si>
    <t>pid</t>
    <phoneticPr fontId="38" type="noConversion"/>
  </si>
  <si>
    <t>string字符串</t>
    <phoneticPr fontId="38" type="noConversion"/>
  </si>
  <si>
    <t>{"uid":"ffd73bf04aab43c587eaacb608f2ff68","pid":"82ga48ds2fa48dsf4a8g2a8sf84as2"}</t>
    <phoneticPr fontId="38" type="noConversion"/>
  </si>
  <si>
    <t>新头像的存储路径</t>
    <phoneticPr fontId="38" type="noConversion"/>
  </si>
  <si>
    <t>path</t>
  </si>
  <si>
    <t>必反</t>
    <phoneticPr fontId="38" type="noConversion"/>
  </si>
  <si>
    <t>修改的状态</t>
    <phoneticPr fontId="38" type="noConversion"/>
  </si>
  <si>
    <t>布尔类型</t>
    <phoneticPr fontId="38" type="noConversion"/>
  </si>
  <si>
    <t>必反</t>
    <phoneticPr fontId="38" type="noConversion"/>
  </si>
  <si>
    <t>{"path":"img/picture/dog.jpg","status":true}</t>
    <phoneticPr fontId="38" type="noConversion"/>
  </si>
  <si>
    <t>必穿</t>
    <phoneticPr fontId="3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</si>
</sst>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&quot;\&quot;#,##0;[Red]&quot;\&quot;\-#,##0"/>
    <numFmt numFmtId="177" formatCode="m/d;@"/>
  </numFmts>
  <fonts count="40">
    <font>
      <sz val="11"/>
      <color theme="1"/>
      <name val="宋体"/>
      <charset val="134"/>
      <scheme val="minor"/>
    </font>
    <font>
      <sz val="11"/>
      <color rgb="FFFF0000"/>
      <name val="宋体"/>
      <family val="3"/>
      <charset val="134"/>
      <scheme val="minor"/>
    </font>
    <font>
      <u/>
      <sz val="11"/>
      <color theme="10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trike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  <scheme val="minor"/>
    </font>
    <font>
      <u/>
      <sz val="11"/>
      <color rgb="FF800080"/>
      <name val="宋体"/>
      <family val="3"/>
      <charset val="134"/>
      <scheme val="minor"/>
    </font>
    <font>
      <b/>
      <sz val="13"/>
      <color theme="1"/>
      <name val="宋体"/>
      <family val="3"/>
      <charset val="134"/>
      <scheme val="minor"/>
    </font>
    <font>
      <sz val="13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name val="宋体"/>
      <family val="3"/>
      <charset val="134"/>
    </font>
    <font>
      <b/>
      <sz val="11"/>
      <color theme="1"/>
      <name val="宋体"/>
      <family val="3"/>
      <charset val="134"/>
    </font>
    <font>
      <sz val="11"/>
      <color indexed="8"/>
      <name val="ＭＳ Ｐゴシック"/>
      <family val="2"/>
    </font>
    <font>
      <sz val="11"/>
      <color indexed="60"/>
      <name val="ＭＳ Ｐゴシック"/>
      <family val="2"/>
    </font>
    <font>
      <sz val="11"/>
      <color indexed="9"/>
      <name val="ＭＳ Ｐゴシック"/>
      <family val="2"/>
    </font>
    <font>
      <sz val="11"/>
      <name val="ＭＳ Ｐゴシック"/>
      <family val="2"/>
    </font>
    <font>
      <b/>
      <sz val="11"/>
      <color indexed="56"/>
      <name val="ＭＳ Ｐゴシック"/>
      <family val="2"/>
    </font>
    <font>
      <b/>
      <sz val="13"/>
      <color indexed="56"/>
      <name val="ＭＳ Ｐゴシック"/>
      <family val="2"/>
    </font>
    <font>
      <b/>
      <sz val="18"/>
      <color indexed="56"/>
      <name val="ＭＳ Ｐゴシック"/>
      <family val="2"/>
    </font>
    <font>
      <b/>
      <sz val="11"/>
      <color indexed="9"/>
      <name val="ＭＳ Ｐゴシック"/>
      <family val="2"/>
    </font>
    <font>
      <sz val="11"/>
      <color indexed="52"/>
      <name val="ＭＳ Ｐゴシック"/>
      <family val="2"/>
    </font>
    <font>
      <sz val="11"/>
      <color indexed="62"/>
      <name val="ＭＳ Ｐゴシック"/>
      <family val="2"/>
    </font>
    <font>
      <sz val="11"/>
      <name val="ＭＳ Ｐ明朝"/>
      <charset val="134"/>
    </font>
    <font>
      <sz val="11"/>
      <color indexed="10"/>
      <name val="ＭＳ Ｐゴシック"/>
      <family val="2"/>
    </font>
    <font>
      <sz val="11"/>
      <color indexed="17"/>
      <name val="ＭＳ Ｐゴシック"/>
      <family val="2"/>
    </font>
    <font>
      <i/>
      <sz val="11"/>
      <color indexed="23"/>
      <name val="ＭＳ Ｐゴシック"/>
      <family val="2"/>
    </font>
    <font>
      <b/>
      <sz val="11"/>
      <color indexed="63"/>
      <name val="ＭＳ Ｐゴシック"/>
      <family val="2"/>
    </font>
    <font>
      <sz val="11"/>
      <color indexed="20"/>
      <name val="ＭＳ Ｐゴシック"/>
      <family val="2"/>
    </font>
    <font>
      <sz val="12"/>
      <name val="Times New Roman"/>
      <family val="1"/>
    </font>
    <font>
      <sz val="12"/>
      <name val="ＭＳ ゴシック"/>
      <charset val="134"/>
    </font>
    <font>
      <b/>
      <sz val="11"/>
      <color indexed="8"/>
      <name val="ＭＳ Ｐゴシック"/>
      <family val="2"/>
    </font>
    <font>
      <b/>
      <sz val="11"/>
      <color indexed="52"/>
      <name val="ＭＳ Ｐゴシック"/>
      <family val="2"/>
    </font>
    <font>
      <b/>
      <sz val="15"/>
      <color indexed="56"/>
      <name val="ＭＳ Ｐゴシック"/>
      <family val="2"/>
    </font>
    <font>
      <sz val="11"/>
      <color theme="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name val="宋体"/>
      <family val="3"/>
      <charset val="134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51017792291024"/>
        <bgColor indexed="64"/>
      </patternFill>
    </fill>
    <fill>
      <patternFill patternType="solid">
        <fgColor theme="6" tint="0.39948728904080327"/>
        <bgColor indexed="64"/>
      </patternFill>
    </fill>
    <fill>
      <patternFill patternType="solid">
        <fgColor theme="4" tint="0.3997619556260872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22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thick">
        <color indexed="2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</borders>
  <cellStyleXfs count="62">
    <xf numFmtId="0" fontId="0" fillId="0" borderId="0"/>
    <xf numFmtId="0" fontId="14" fillId="7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2" fillId="0" borderId="0" applyNumberFormat="0" applyFill="0" applyBorder="0" applyAlignment="0" applyProtection="0"/>
    <xf numFmtId="0" fontId="14" fillId="15" borderId="0" applyNumberFormat="0" applyBorder="0" applyAlignment="0" applyProtection="0">
      <alignment vertical="center"/>
    </xf>
    <xf numFmtId="0" fontId="4" fillId="0" borderId="0"/>
    <xf numFmtId="0" fontId="4" fillId="0" borderId="0"/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4" borderId="0" applyNumberFormat="0" applyBorder="0" applyAlignment="0" applyProtection="0">
      <alignment vertical="center"/>
    </xf>
    <xf numFmtId="0" fontId="16" fillId="26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3" fillId="24" borderId="12" applyNumberFormat="0" applyAlignment="0" applyProtection="0">
      <alignment vertical="center"/>
    </xf>
    <xf numFmtId="0" fontId="21" fillId="25" borderId="10" applyNumberFormat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7" fillId="12" borderId="7" applyNumberFormat="0" applyFont="0" applyAlignment="0" applyProtection="0">
      <alignment vertical="center"/>
    </xf>
    <xf numFmtId="0" fontId="22" fillId="0" borderId="11" applyNumberFormat="0" applyFill="0" applyAlignment="0" applyProtection="0">
      <alignment vertical="center"/>
    </xf>
    <xf numFmtId="0" fontId="24" fillId="0" borderId="0"/>
    <xf numFmtId="0" fontId="17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8" fillId="28" borderId="13" applyNumberFormat="0" applyAlignment="0" applyProtection="0">
      <alignment vertical="center"/>
    </xf>
    <xf numFmtId="0" fontId="29" fillId="20" borderId="0" applyNumberFormat="0" applyBorder="0" applyAlignment="0" applyProtection="0">
      <alignment vertical="center"/>
    </xf>
    <xf numFmtId="49" fontId="31" fillId="0" borderId="0" applyBorder="0">
      <alignment vertical="center"/>
    </xf>
    <xf numFmtId="0" fontId="32" fillId="0" borderId="14" applyNumberFormat="0" applyFill="0" applyAlignment="0" applyProtection="0">
      <alignment vertical="center"/>
    </xf>
    <xf numFmtId="0" fontId="33" fillId="28" borderId="12" applyNumberFormat="0" applyAlignment="0" applyProtection="0">
      <alignment vertical="center"/>
    </xf>
    <xf numFmtId="0" fontId="34" fillId="0" borderId="15" applyNumberFormat="0" applyFill="0" applyAlignment="0" applyProtection="0">
      <alignment vertical="center"/>
    </xf>
    <xf numFmtId="0" fontId="19" fillId="0" borderId="9" applyNumberFormat="0" applyFill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176" fontId="24" fillId="0" borderId="0" applyFont="0" applyFill="0" applyBorder="0" applyAlignment="0" applyProtection="0"/>
    <xf numFmtId="0" fontId="30" fillId="0" borderId="0"/>
  </cellStyleXfs>
  <cellXfs count="128">
    <xf numFmtId="0" fontId="0" fillId="0" borderId="0" xfId="0"/>
    <xf numFmtId="0" fontId="1" fillId="0" borderId="0" xfId="36" applyFont="1"/>
    <xf numFmtId="0" fontId="0" fillId="0" borderId="0" xfId="36" applyFont="1"/>
    <xf numFmtId="0" fontId="2" fillId="0" borderId="0" xfId="3" applyFont="1"/>
    <xf numFmtId="0" fontId="3" fillId="2" borderId="1" xfId="36" applyFont="1" applyFill="1" applyBorder="1" applyAlignment="1">
      <alignment vertical="center"/>
    </xf>
    <xf numFmtId="0" fontId="4" fillId="0" borderId="2" xfId="36" applyFont="1" applyBorder="1" applyAlignment="1">
      <alignment horizontal="left" vertical="center"/>
    </xf>
    <xf numFmtId="0" fontId="0" fillId="0" borderId="3" xfId="36" applyFont="1" applyBorder="1" applyAlignment="1">
      <alignment horizontal="left" vertical="center"/>
    </xf>
    <xf numFmtId="0" fontId="0" fillId="0" borderId="4" xfId="36" applyFont="1" applyBorder="1" applyAlignment="1">
      <alignment horizontal="left" vertical="center"/>
    </xf>
    <xf numFmtId="0" fontId="3" fillId="3" borderId="1" xfId="36" applyFont="1" applyFill="1" applyBorder="1" applyAlignment="1">
      <alignment horizontal="center" vertical="center"/>
    </xf>
    <xf numFmtId="0" fontId="4" fillId="0" borderId="1" xfId="0" applyFont="1" applyBorder="1" applyAlignment="1">
      <alignment horizontal="left" vertical="top"/>
    </xf>
    <xf numFmtId="0" fontId="4" fillId="0" borderId="1" xfId="0" applyFont="1" applyBorder="1" applyAlignment="1">
      <alignment horizontal="left"/>
    </xf>
    <xf numFmtId="0" fontId="0" fillId="0" borderId="1" xfId="0" applyFont="1" applyBorder="1" applyAlignment="1">
      <alignment horizontal="left" vertical="top"/>
    </xf>
    <xf numFmtId="0" fontId="4" fillId="0" borderId="1" xfId="0" applyFont="1" applyBorder="1"/>
    <xf numFmtId="0" fontId="0" fillId="0" borderId="1" xfId="0" applyFont="1" applyBorder="1"/>
    <xf numFmtId="0" fontId="3" fillId="4" borderId="1" xfId="36" applyFont="1" applyFill="1" applyBorder="1"/>
    <xf numFmtId="0" fontId="0" fillId="0" borderId="1" xfId="36" applyFont="1" applyBorder="1"/>
    <xf numFmtId="0" fontId="0" fillId="0" borderId="1" xfId="36" applyFont="1" applyBorder="1" applyAlignment="1">
      <alignment horizontal="left"/>
    </xf>
    <xf numFmtId="0" fontId="0" fillId="0" borderId="1" xfId="36" applyFont="1" applyBorder="1" applyAlignment="1">
      <alignment horizontal="left" vertical="top" indent="2"/>
    </xf>
    <xf numFmtId="0" fontId="0" fillId="0" borderId="1" xfId="36" applyFont="1" applyBorder="1" applyAlignment="1">
      <alignment horizontal="left" indent="2"/>
    </xf>
    <xf numFmtId="0" fontId="5" fillId="0" borderId="1" xfId="36" applyFont="1" applyBorder="1" applyAlignment="1">
      <alignment horizontal="left" indent="1"/>
    </xf>
    <xf numFmtId="0" fontId="0" fillId="0" borderId="1" xfId="36" applyFont="1" applyBorder="1" applyAlignment="1">
      <alignment horizontal="left" indent="1"/>
    </xf>
    <xf numFmtId="0" fontId="5" fillId="0" borderId="1" xfId="36" applyFont="1" applyBorder="1"/>
    <xf numFmtId="0" fontId="0" fillId="0" borderId="1" xfId="0" applyBorder="1"/>
    <xf numFmtId="0" fontId="0" fillId="0" borderId="2" xfId="36" applyFont="1" applyBorder="1" applyAlignment="1">
      <alignment horizontal="left" vertical="center"/>
    </xf>
    <xf numFmtId="0" fontId="4" fillId="0" borderId="0" xfId="36" applyFont="1"/>
    <xf numFmtId="0" fontId="0" fillId="0" borderId="0" xfId="0" applyFont="1" applyFill="1"/>
    <xf numFmtId="0" fontId="5" fillId="0" borderId="0" xfId="0" applyFont="1" applyFill="1"/>
    <xf numFmtId="0" fontId="6" fillId="0" borderId="0" xfId="0" applyFont="1" applyFill="1"/>
    <xf numFmtId="0" fontId="0" fillId="0" borderId="0" xfId="0" applyFont="1" applyAlignment="1">
      <alignment horizontal="left"/>
    </xf>
    <xf numFmtId="0" fontId="0" fillId="0" borderId="0" xfId="0" applyFont="1"/>
    <xf numFmtId="0" fontId="0" fillId="0" borderId="0" xfId="0" applyFont="1" applyAlignment="1"/>
    <xf numFmtId="0" fontId="3" fillId="0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2" fillId="0" borderId="1" xfId="3" applyFill="1" applyBorder="1" applyAlignment="1">
      <alignment horizontal="left"/>
    </xf>
    <xf numFmtId="0" fontId="7" fillId="0" borderId="5" xfId="0" applyFont="1" applyFill="1" applyBorder="1" applyAlignment="1">
      <alignment wrapText="1"/>
    </xf>
    <xf numFmtId="0" fontId="0" fillId="0" borderId="5" xfId="0" applyFont="1" applyFill="1" applyBorder="1" applyAlignment="1">
      <alignment wrapText="1"/>
    </xf>
    <xf numFmtId="0" fontId="4" fillId="0" borderId="1" xfId="0" applyFont="1" applyFill="1" applyBorder="1"/>
    <xf numFmtId="0" fontId="0" fillId="0" borderId="1" xfId="0" applyFont="1" applyFill="1" applyBorder="1"/>
    <xf numFmtId="0" fontId="0" fillId="0" borderId="1" xfId="0" applyFont="1" applyFill="1" applyBorder="1" applyAlignment="1">
      <alignment horizontal="left"/>
    </xf>
    <xf numFmtId="14" fontId="0" fillId="0" borderId="1" xfId="0" applyNumberFormat="1" applyFont="1" applyFill="1" applyBorder="1"/>
    <xf numFmtId="0" fontId="8" fillId="0" borderId="1" xfId="3" applyFont="1" applyFill="1" applyBorder="1" applyAlignment="1">
      <alignment horizontal="left"/>
    </xf>
    <xf numFmtId="0" fontId="4" fillId="0" borderId="5" xfId="0" applyFont="1" applyFill="1" applyBorder="1" applyAlignment="1">
      <alignment wrapText="1"/>
    </xf>
    <xf numFmtId="0" fontId="4" fillId="0" borderId="1" xfId="0" applyFont="1" applyFill="1" applyBorder="1" applyAlignment="1">
      <alignment horizontal="left"/>
    </xf>
    <xf numFmtId="0" fontId="5" fillId="0" borderId="1" xfId="0" applyFont="1" applyFill="1" applyBorder="1"/>
    <xf numFmtId="0" fontId="3" fillId="2" borderId="1" xfId="0" applyFont="1" applyFill="1" applyBorder="1" applyAlignment="1">
      <alignment horizontal="center" wrapText="1"/>
    </xf>
    <xf numFmtId="0" fontId="0" fillId="0" borderId="0" xfId="0" applyFont="1" applyFill="1" applyAlignment="1"/>
    <xf numFmtId="0" fontId="5" fillId="0" borderId="0" xfId="0" applyFont="1" applyFill="1" applyAlignment="1"/>
    <xf numFmtId="0" fontId="6" fillId="0" borderId="1" xfId="0" applyFont="1" applyFill="1" applyBorder="1"/>
    <xf numFmtId="0" fontId="6" fillId="0" borderId="1" xfId="0" applyFont="1" applyFill="1" applyBorder="1" applyAlignment="1">
      <alignment horizontal="center"/>
    </xf>
    <xf numFmtId="0" fontId="6" fillId="0" borderId="0" xfId="0" applyFont="1" applyFill="1" applyAlignment="1"/>
    <xf numFmtId="0" fontId="5" fillId="0" borderId="1" xfId="0" applyFont="1" applyFill="1" applyBorder="1" applyAlignment="1">
      <alignment horizontal="center"/>
    </xf>
    <xf numFmtId="0" fontId="2" fillId="0" borderId="1" xfId="3" applyFont="1" applyFill="1" applyBorder="1" applyAlignment="1">
      <alignment horizontal="left"/>
    </xf>
    <xf numFmtId="0" fontId="0" fillId="0" borderId="0" xfId="0" applyFont="1" applyFill="1" applyAlignment="1">
      <alignment wrapText="1"/>
    </xf>
    <xf numFmtId="0" fontId="0" fillId="0" borderId="0" xfId="0" applyFont="1" applyAlignment="1">
      <alignment horizontal="left" wrapText="1"/>
    </xf>
    <xf numFmtId="0" fontId="0" fillId="0" borderId="0" xfId="0" applyFont="1" applyAlignment="1">
      <alignment wrapText="1"/>
    </xf>
    <xf numFmtId="177" fontId="0" fillId="0" borderId="0" xfId="0" applyNumberFormat="1" applyFont="1" applyAlignment="1">
      <alignment wrapText="1"/>
    </xf>
    <xf numFmtId="0" fontId="9" fillId="5" borderId="1" xfId="0" applyFont="1" applyFill="1" applyBorder="1" applyAlignment="1">
      <alignment horizontal="center"/>
    </xf>
    <xf numFmtId="0" fontId="9" fillId="5" borderId="1" xfId="0" applyFont="1" applyFill="1" applyBorder="1" applyAlignment="1">
      <alignment horizontal="center" wrapText="1"/>
    </xf>
    <xf numFmtId="0" fontId="10" fillId="0" borderId="2" xfId="0" applyFont="1" applyFill="1" applyBorder="1"/>
    <xf numFmtId="0" fontId="11" fillId="0" borderId="1" xfId="0" applyFont="1" applyFill="1" applyBorder="1"/>
    <xf numFmtId="0" fontId="11" fillId="0" borderId="1" xfId="0" applyFont="1" applyFill="1" applyBorder="1" applyAlignment="1">
      <alignment wrapText="1"/>
    </xf>
    <xf numFmtId="0" fontId="11" fillId="0" borderId="1" xfId="0" applyFont="1" applyFill="1" applyBorder="1" applyAlignment="1">
      <alignment horizontal="left" wrapText="1"/>
    </xf>
    <xf numFmtId="0" fontId="11" fillId="0" borderId="1" xfId="0" applyFont="1" applyBorder="1" applyAlignment="1">
      <alignment horizontal="left" wrapText="1"/>
    </xf>
    <xf numFmtId="177" fontId="9" fillId="5" borderId="1" xfId="0" applyNumberFormat="1" applyFont="1" applyFill="1" applyBorder="1" applyAlignment="1">
      <alignment horizontal="center" wrapText="1"/>
    </xf>
    <xf numFmtId="177" fontId="11" fillId="0" borderId="1" xfId="0" applyNumberFormat="1" applyFont="1" applyFill="1" applyBorder="1" applyAlignment="1">
      <alignment wrapText="1"/>
    </xf>
    <xf numFmtId="0" fontId="11" fillId="0" borderId="1" xfId="0" applyFont="1" applyBorder="1" applyAlignment="1">
      <alignment wrapText="1"/>
    </xf>
    <xf numFmtId="177" fontId="11" fillId="0" borderId="1" xfId="0" applyNumberFormat="1" applyFont="1" applyBorder="1" applyAlignment="1">
      <alignment wrapText="1"/>
    </xf>
    <xf numFmtId="0" fontId="11" fillId="0" borderId="0" xfId="0" applyFont="1" applyFill="1"/>
    <xf numFmtId="0" fontId="11" fillId="0" borderId="0" xfId="0" applyFont="1" applyFill="1" applyAlignment="1">
      <alignment wrapText="1"/>
    </xf>
    <xf numFmtId="0" fontId="11" fillId="0" borderId="0" xfId="0" applyFont="1" applyAlignment="1">
      <alignment horizontal="left" wrapText="1"/>
    </xf>
    <xf numFmtId="0" fontId="11" fillId="0" borderId="0" xfId="0" applyFont="1" applyAlignment="1">
      <alignment wrapText="1"/>
    </xf>
    <xf numFmtId="177" fontId="11" fillId="0" borderId="0" xfId="0" applyNumberFormat="1" applyFont="1" applyAlignment="1">
      <alignment wrapText="1"/>
    </xf>
    <xf numFmtId="0" fontId="12" fillId="0" borderId="6" xfId="0" applyNumberFormat="1" applyFont="1" applyFill="1" applyBorder="1" applyAlignment="1">
      <alignment horizontal="center" vertical="center"/>
    </xf>
    <xf numFmtId="0" fontId="12" fillId="0" borderId="1" xfId="0" applyNumberFormat="1" applyFont="1" applyFill="1" applyBorder="1" applyAlignment="1">
      <alignment horizontal="left" vertical="center"/>
    </xf>
    <xf numFmtId="0" fontId="12" fillId="0" borderId="1" xfId="0" applyNumberFormat="1" applyFont="1" applyFill="1" applyBorder="1" applyAlignment="1">
      <alignment horizontal="center" vertical="center"/>
    </xf>
    <xf numFmtId="0" fontId="0" fillId="0" borderId="1" xfId="0" applyFont="1" applyFill="1" applyBorder="1" applyAlignment="1">
      <alignment wrapText="1"/>
    </xf>
    <xf numFmtId="0" fontId="12" fillId="0" borderId="1" xfId="0" applyNumberFormat="1" applyFont="1" applyFill="1" applyBorder="1" applyAlignment="1">
      <alignment horizontal="left" vertical="top"/>
    </xf>
    <xf numFmtId="0" fontId="1" fillId="0" borderId="1" xfId="0" applyFont="1" applyFill="1" applyBorder="1"/>
    <xf numFmtId="0" fontId="5" fillId="0" borderId="1" xfId="0" applyFont="1" applyFill="1" applyBorder="1" applyAlignment="1">
      <alignment wrapText="1"/>
    </xf>
    <xf numFmtId="0" fontId="13" fillId="0" borderId="1" xfId="0" applyFont="1" applyFill="1" applyBorder="1" applyAlignment="1">
      <alignment horizontal="center"/>
    </xf>
    <xf numFmtId="0" fontId="0" fillId="0" borderId="1" xfId="0" applyFont="1" applyFill="1" applyBorder="1" applyAlignment="1"/>
    <xf numFmtId="0" fontId="3" fillId="6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vertical="center"/>
    </xf>
    <xf numFmtId="0" fontId="3" fillId="3" borderId="1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left"/>
    </xf>
    <xf numFmtId="0" fontId="3" fillId="4" borderId="1" xfId="0" applyFont="1" applyFill="1" applyBorder="1"/>
    <xf numFmtId="0" fontId="0" fillId="0" borderId="2" xfId="36" applyFont="1" applyBorder="1" applyAlignment="1">
      <alignment horizontal="left" vertical="center"/>
    </xf>
    <xf numFmtId="0" fontId="0" fillId="0" borderId="3" xfId="36" applyFont="1" applyBorder="1" applyAlignment="1">
      <alignment horizontal="left" vertical="center"/>
    </xf>
    <xf numFmtId="0" fontId="0" fillId="0" borderId="4" xfId="36" applyFont="1" applyBorder="1" applyAlignment="1">
      <alignment horizontal="left" vertical="center"/>
    </xf>
    <xf numFmtId="0" fontId="36" fillId="0" borderId="1" xfId="0" applyFont="1" applyBorder="1" applyAlignment="1">
      <alignment horizontal="left" vertical="top"/>
    </xf>
    <xf numFmtId="0" fontId="36" fillId="0" borderId="1" xfId="0" applyFont="1" applyBorder="1"/>
    <xf numFmtId="0" fontId="36" fillId="0" borderId="1" xfId="36" applyFont="1" applyBorder="1"/>
    <xf numFmtId="0" fontId="36" fillId="0" borderId="1" xfId="36" applyFont="1" applyBorder="1" applyAlignment="1">
      <alignment horizontal="left"/>
    </xf>
    <xf numFmtId="0" fontId="36" fillId="0" borderId="1" xfId="36" applyFont="1" applyBorder="1" applyAlignment="1">
      <alignment horizontal="left" vertical="top" indent="2"/>
    </xf>
    <xf numFmtId="0" fontId="36" fillId="0" borderId="1" xfId="36" applyFont="1" applyBorder="1" applyAlignment="1">
      <alignment horizontal="left" indent="2"/>
    </xf>
    <xf numFmtId="0" fontId="39" fillId="0" borderId="1" xfId="36" applyFont="1" applyBorder="1"/>
    <xf numFmtId="0" fontId="4" fillId="0" borderId="1" xfId="36" applyFont="1" applyBorder="1"/>
    <xf numFmtId="0" fontId="0" fillId="0" borderId="3" xfId="36" applyFont="1" applyBorder="1" applyAlignment="1">
      <alignment horizontal="left" vertical="center"/>
    </xf>
    <xf numFmtId="0" fontId="0" fillId="0" borderId="4" xfId="36" applyFont="1" applyBorder="1" applyAlignment="1">
      <alignment horizontal="left" vertical="center"/>
    </xf>
    <xf numFmtId="0" fontId="4" fillId="0" borderId="2" xfId="36" applyFont="1" applyBorder="1" applyAlignment="1">
      <alignment horizontal="left" vertical="center"/>
    </xf>
    <xf numFmtId="0" fontId="4" fillId="0" borderId="1" xfId="36" applyFont="1" applyBorder="1" applyAlignment="1">
      <alignment horizontal="left" vertical="top" indent="2"/>
    </xf>
    <xf numFmtId="0" fontId="4" fillId="0" borderId="1" xfId="36" applyFont="1" applyBorder="1" applyAlignment="1">
      <alignment horizontal="left" indent="2"/>
    </xf>
    <xf numFmtId="0" fontId="4" fillId="0" borderId="1" xfId="36" applyFont="1" applyBorder="1" applyAlignment="1">
      <alignment horizontal="left" indent="1"/>
    </xf>
    <xf numFmtId="0" fontId="4" fillId="0" borderId="1" xfId="36" applyFont="1" applyBorder="1" applyAlignment="1">
      <alignment horizontal="left"/>
    </xf>
    <xf numFmtId="0" fontId="3" fillId="2" borderId="1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left" vertical="top" wrapText="1"/>
    </xf>
    <xf numFmtId="0" fontId="0" fillId="0" borderId="2" xfId="0" applyFont="1" applyBorder="1" applyAlignment="1">
      <alignment horizontal="left" vertical="center"/>
    </xf>
    <xf numFmtId="0" fontId="0" fillId="0" borderId="3" xfId="0" applyFont="1" applyBorder="1" applyAlignment="1">
      <alignment horizontal="left" vertical="center"/>
    </xf>
    <xf numFmtId="0" fontId="0" fillId="0" borderId="4" xfId="0" applyFont="1" applyBorder="1" applyAlignment="1">
      <alignment horizontal="left" vertical="center"/>
    </xf>
    <xf numFmtId="0" fontId="0" fillId="0" borderId="1" xfId="0" applyFont="1" applyBorder="1" applyAlignment="1">
      <alignment horizontal="left" vertical="center" wrapText="1"/>
    </xf>
    <xf numFmtId="0" fontId="0" fillId="0" borderId="0" xfId="0"/>
    <xf numFmtId="0" fontId="0" fillId="6" borderId="1" xfId="0" applyFont="1" applyFill="1" applyBorder="1" applyAlignment="1">
      <alignment horizontal="left" vertical="center"/>
    </xf>
    <xf numFmtId="0" fontId="0" fillId="0" borderId="1" xfId="0" applyFont="1" applyBorder="1" applyAlignment="1">
      <alignment horizontal="left" vertical="center"/>
    </xf>
    <xf numFmtId="0" fontId="3" fillId="2" borderId="1" xfId="36" applyFont="1" applyFill="1" applyBorder="1" applyAlignment="1">
      <alignment horizontal="center" vertical="center"/>
    </xf>
    <xf numFmtId="0" fontId="0" fillId="0" borderId="1" xfId="36" applyFont="1" applyBorder="1" applyAlignment="1">
      <alignment horizontal="left" vertical="top" wrapText="1"/>
    </xf>
    <xf numFmtId="0" fontId="0" fillId="0" borderId="1" xfId="36" applyFont="1" applyBorder="1" applyAlignment="1">
      <alignment horizontal="left" vertical="center"/>
    </xf>
    <xf numFmtId="0" fontId="0" fillId="0" borderId="2" xfId="36" applyFont="1" applyBorder="1" applyAlignment="1">
      <alignment horizontal="left" vertical="center"/>
    </xf>
    <xf numFmtId="0" fontId="0" fillId="0" borderId="3" xfId="36" applyFont="1" applyBorder="1" applyAlignment="1">
      <alignment horizontal="left" vertical="center"/>
    </xf>
    <xf numFmtId="0" fontId="0" fillId="0" borderId="4" xfId="36" applyFont="1" applyBorder="1" applyAlignment="1">
      <alignment horizontal="left" vertical="center"/>
    </xf>
    <xf numFmtId="0" fontId="0" fillId="0" borderId="1" xfId="36" applyFont="1" applyBorder="1" applyAlignment="1">
      <alignment horizontal="left" vertical="center" wrapText="1"/>
    </xf>
    <xf numFmtId="0" fontId="4" fillId="0" borderId="1" xfId="36" applyFont="1" applyBorder="1" applyAlignment="1">
      <alignment horizontal="left" vertical="top" wrapText="1"/>
    </xf>
    <xf numFmtId="0" fontId="4" fillId="0" borderId="1" xfId="36" applyFont="1" applyBorder="1" applyAlignment="1">
      <alignment horizontal="left" vertical="center"/>
    </xf>
    <xf numFmtId="0" fontId="2" fillId="0" borderId="2" xfId="3" applyBorder="1" applyAlignment="1">
      <alignment horizontal="left" vertical="center"/>
    </xf>
    <xf numFmtId="0" fontId="36" fillId="0" borderId="1" xfId="36" applyFont="1" applyBorder="1" applyAlignment="1">
      <alignment horizontal="left" vertical="center" wrapText="1"/>
    </xf>
    <xf numFmtId="0" fontId="4" fillId="0" borderId="1" xfId="36" applyFont="1" applyBorder="1" applyAlignment="1">
      <alignment horizontal="left" vertical="center" wrapText="1"/>
    </xf>
    <xf numFmtId="0" fontId="4" fillId="0" borderId="2" xfId="36" applyFont="1" applyBorder="1" applyAlignment="1">
      <alignment horizontal="left" vertical="center"/>
    </xf>
    <xf numFmtId="0" fontId="4" fillId="0" borderId="1" xfId="0" applyFont="1" applyBorder="1" applyAlignment="1">
      <alignment horizontal="left" vertical="top" wrapText="1"/>
    </xf>
  </cellXfs>
  <cellStyles count="62">
    <cellStyle name="20% - アクセント 1" xfId="1"/>
    <cellStyle name="20% - アクセント 2" xfId="15"/>
    <cellStyle name="20% - アクセント 3" xfId="10"/>
    <cellStyle name="20% - アクセント 4" xfId="8"/>
    <cellStyle name="20% - アクセント 5" xfId="12"/>
    <cellStyle name="20% - アクセント 6" xfId="14"/>
    <cellStyle name="40% - アクセント 1" xfId="2"/>
    <cellStyle name="40% - アクセント 2" xfId="4"/>
    <cellStyle name="40% - アクセント 3" xfId="18"/>
    <cellStyle name="40% - アクセント 4" xfId="7"/>
    <cellStyle name="40% - アクセント 5" xfId="19"/>
    <cellStyle name="40% - アクセント 6" xfId="20"/>
    <cellStyle name="60% - アクセント 1" xfId="11"/>
    <cellStyle name="60% - アクセント 2" xfId="13"/>
    <cellStyle name="60% - アクセント 3" xfId="16"/>
    <cellStyle name="60% - アクセント 4" xfId="17"/>
    <cellStyle name="60% - アクセント 5" xfId="21"/>
    <cellStyle name="60% - アクセント 6" xfId="22"/>
    <cellStyle name="アクセント 1" xfId="23"/>
    <cellStyle name="アクセント 2" xfId="24"/>
    <cellStyle name="アクセント 3" xfId="25"/>
    <cellStyle name="アクセント 4" xfId="26"/>
    <cellStyle name="アクセント 5" xfId="27"/>
    <cellStyle name="アクセント 6" xfId="9"/>
    <cellStyle name="タイトル" xfId="28"/>
    <cellStyle name="チェック セル" xfId="30"/>
    <cellStyle name="どちらでもない" xfId="31"/>
    <cellStyle name="メモ" xfId="32"/>
    <cellStyle name="リンク セル" xfId="33"/>
    <cellStyle name="標準 2" xfId="34"/>
    <cellStyle name="常规" xfId="0" builtinId="0"/>
    <cellStyle name="常规 2" xfId="35"/>
    <cellStyle name="常规 3" xfId="36"/>
    <cellStyle name="常规 3 2" xfId="37"/>
    <cellStyle name="常规 3 3" xfId="38"/>
    <cellStyle name="常规 4" xfId="39"/>
    <cellStyle name="常规 4 2" xfId="40"/>
    <cellStyle name="常规 4 2 2" xfId="41"/>
    <cellStyle name="常规 4 3" xfId="42"/>
    <cellStyle name="常规 5" xfId="43"/>
    <cellStyle name="常规 5 2" xfId="6"/>
    <cellStyle name="常规 6" xfId="5"/>
    <cellStyle name="常规 7" xfId="44"/>
    <cellStyle name="超链接" xfId="3" builtinId="8"/>
    <cellStyle name="超链接 2" xfId="45"/>
    <cellStyle name="超链接 2 2" xfId="46"/>
    <cellStyle name="超链接 3" xfId="47"/>
    <cellStyle name="出力" xfId="48"/>
    <cellStyle name="悪い" xfId="49"/>
    <cellStyle name="画面レイアウト" xfId="50"/>
    <cellStyle name="集計" xfId="51"/>
    <cellStyle name="計算" xfId="52"/>
    <cellStyle name="見出し 1" xfId="53"/>
    <cellStyle name="見出し 2" xfId="54"/>
    <cellStyle name="見出し 3" xfId="55"/>
    <cellStyle name="見出し 4" xfId="56"/>
    <cellStyle name="警告文" xfId="57"/>
    <cellStyle name="良い" xfId="58"/>
    <cellStyle name="入力" xfId="29"/>
    <cellStyle name="説明文" xfId="59"/>
    <cellStyle name="通貨 2" xfId="60"/>
    <cellStyle name="样式 1" xfId="6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1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123825</xdr:colOff>
          <xdr:row>0</xdr:row>
          <xdr:rowOff>9525</xdr:rowOff>
        </xdr:from>
        <xdr:to>
          <xdr:col>8</xdr:col>
          <xdr:colOff>1190625</xdr:colOff>
          <xdr:row>0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生成接口sheet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1543050</xdr:colOff>
          <xdr:row>0</xdr:row>
          <xdr:rowOff>38100</xdr:rowOff>
        </xdr:from>
        <xdr:to>
          <xdr:col>3</xdr:col>
          <xdr:colOff>2247900</xdr:colOff>
          <xdr:row>1</xdr:row>
          <xdr:rowOff>85725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=""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更新一览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works\svn\11_&#24331;&#24247;&#24494;&#20449;\04.&#35774;&#35745;\&#23383;&#27573;&#23450;&#20041;&#23383;&#20856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字段定义字典"/>
      <sheetName val="字段定义字典 bak"/>
    </sheetNames>
    <sheetDataSet>
      <sheetData sheetId="0" refreshError="1">
        <row r="1">
          <cell r="B1" t="str">
            <v>字段</v>
          </cell>
          <cell r="C1" t="str">
            <v>数据库变量</v>
          </cell>
          <cell r="D1" t="str">
            <v>类型</v>
          </cell>
          <cell r="E1" t="str">
            <v>最小表示长度</v>
          </cell>
          <cell r="F1" t="str">
            <v>校验</v>
          </cell>
          <cell r="G1" t="str">
            <v>字段重复</v>
          </cell>
          <cell r="H1" t="str">
            <v>变量重复</v>
          </cell>
          <cell r="I1" t="str">
            <v>程序变量</v>
          </cell>
        </row>
        <row r="2">
          <cell r="B2" t="str">
            <v>执行结果Code</v>
          </cell>
          <cell r="C2" t="str">
            <v>code</v>
          </cell>
          <cell r="D2" t="str">
            <v>varchar(50)</v>
          </cell>
          <cell r="E2">
            <v>0</v>
          </cell>
          <cell r="F2">
            <v>0</v>
          </cell>
          <cell r="G2">
            <v>1</v>
          </cell>
          <cell r="H2">
            <v>2</v>
          </cell>
          <cell r="I2" t="str">
            <v>code</v>
          </cell>
        </row>
        <row r="3">
          <cell r="B3" t="str">
            <v>执行结果信息</v>
          </cell>
          <cell r="C3" t="str">
            <v>msg</v>
          </cell>
          <cell r="D3" t="str">
            <v>varchar(200)</v>
          </cell>
          <cell r="E3">
            <v>0</v>
          </cell>
          <cell r="F3">
            <v>0</v>
          </cell>
          <cell r="G3">
            <v>1</v>
          </cell>
          <cell r="H3">
            <v>1</v>
          </cell>
          <cell r="I3" t="str">
            <v>msg</v>
          </cell>
        </row>
        <row r="4">
          <cell r="B4" t="str">
            <v>返回信息</v>
          </cell>
          <cell r="C4" t="str">
            <v>data</v>
          </cell>
          <cell r="D4" t="str">
            <v>Object</v>
          </cell>
          <cell r="E4">
            <v>0</v>
          </cell>
          <cell r="F4">
            <v>0</v>
          </cell>
          <cell r="G4">
            <v>1</v>
          </cell>
          <cell r="H4">
            <v>1</v>
          </cell>
          <cell r="I4" t="str">
            <v>data</v>
          </cell>
        </row>
        <row r="5">
          <cell r="B5" t="str">
            <v>数据列表</v>
          </cell>
          <cell r="C5" t="str">
            <v>data_list</v>
          </cell>
          <cell r="D5">
            <v>0</v>
          </cell>
          <cell r="E5">
            <v>0</v>
          </cell>
          <cell r="F5">
            <v>0</v>
          </cell>
          <cell r="G5">
            <v>1</v>
          </cell>
          <cell r="H5">
            <v>1</v>
          </cell>
          <cell r="I5" t="str">
            <v>dataList</v>
          </cell>
        </row>
        <row r="6">
          <cell r="B6" t="str">
            <v>数据列表1</v>
          </cell>
          <cell r="C6" t="str">
            <v>data_list_1</v>
          </cell>
          <cell r="D6">
            <v>0</v>
          </cell>
          <cell r="E6">
            <v>0</v>
          </cell>
          <cell r="F6">
            <v>0</v>
          </cell>
          <cell r="G6">
            <v>1</v>
          </cell>
          <cell r="H6">
            <v>1</v>
          </cell>
          <cell r="I6" t="str">
            <v>dataList1</v>
          </cell>
        </row>
        <row r="7">
          <cell r="B7" t="str">
            <v>ID</v>
          </cell>
          <cell r="C7" t="str">
            <v>id</v>
          </cell>
          <cell r="D7" t="str">
            <v>bigint</v>
          </cell>
          <cell r="E7">
            <v>0</v>
          </cell>
          <cell r="F7">
            <v>0</v>
          </cell>
          <cell r="G7">
            <v>1</v>
          </cell>
          <cell r="H7">
            <v>1</v>
          </cell>
          <cell r="I7" t="str">
            <v>id</v>
          </cell>
        </row>
        <row r="8">
          <cell r="B8" t="str">
            <v>类型</v>
          </cell>
          <cell r="C8" t="str">
            <v>type</v>
          </cell>
          <cell r="D8" t="str">
            <v>varchar(20)</v>
          </cell>
          <cell r="E8">
            <v>0</v>
          </cell>
          <cell r="F8">
            <v>0</v>
          </cell>
          <cell r="G8">
            <v>1</v>
          </cell>
          <cell r="H8">
            <v>1</v>
          </cell>
          <cell r="I8" t="str">
            <v>type</v>
          </cell>
        </row>
        <row r="9">
          <cell r="B9" t="str">
            <v>类型值</v>
          </cell>
          <cell r="C9" t="str">
            <v>type_value</v>
          </cell>
          <cell r="D9" t="str">
            <v>varchar(20)</v>
          </cell>
          <cell r="E9">
            <v>0</v>
          </cell>
          <cell r="F9">
            <v>0</v>
          </cell>
          <cell r="G9">
            <v>1</v>
          </cell>
          <cell r="H9">
            <v>1</v>
          </cell>
          <cell r="I9" t="str">
            <v>typeValue</v>
          </cell>
        </row>
        <row r="10">
          <cell r="B10" t="str">
            <v>编码</v>
          </cell>
          <cell r="C10" t="str">
            <v>code</v>
          </cell>
          <cell r="D10" t="str">
            <v>varchar(20)</v>
          </cell>
          <cell r="E10">
            <v>0</v>
          </cell>
          <cell r="F10">
            <v>0</v>
          </cell>
          <cell r="G10">
            <v>1</v>
          </cell>
          <cell r="H10">
            <v>2</v>
          </cell>
          <cell r="I10" t="str">
            <v>code</v>
          </cell>
        </row>
        <row r="11">
          <cell r="B11" t="str">
            <v>表示序号</v>
          </cell>
          <cell r="C11" t="str">
            <v>order_number</v>
          </cell>
          <cell r="D11" t="str">
            <v>int</v>
          </cell>
          <cell r="E11">
            <v>0</v>
          </cell>
          <cell r="F11">
            <v>0</v>
          </cell>
          <cell r="G11">
            <v>1</v>
          </cell>
          <cell r="H11">
            <v>1</v>
          </cell>
          <cell r="I11" t="str">
            <v>orderNumber</v>
          </cell>
        </row>
        <row r="12">
          <cell r="B12" t="str">
            <v>意义</v>
          </cell>
          <cell r="C12" t="str">
            <v>meaning</v>
          </cell>
          <cell r="D12" t="str">
            <v>varchar(100)</v>
          </cell>
          <cell r="E12">
            <v>0</v>
          </cell>
          <cell r="F12">
            <v>0</v>
          </cell>
          <cell r="G12">
            <v>1</v>
          </cell>
          <cell r="H12">
            <v>1</v>
          </cell>
          <cell r="I12" t="str">
            <v>meaning</v>
          </cell>
        </row>
        <row r="13">
          <cell r="B13" t="str">
            <v>描述</v>
          </cell>
          <cell r="C13" t="str">
            <v>describ</v>
          </cell>
          <cell r="D13" t="str">
            <v>varchar(100)</v>
          </cell>
          <cell r="E13">
            <v>0</v>
          </cell>
          <cell r="F13">
            <v>0</v>
          </cell>
          <cell r="G13">
            <v>1</v>
          </cell>
          <cell r="H13">
            <v>1</v>
          </cell>
          <cell r="I13" t="str">
            <v>describ</v>
          </cell>
        </row>
        <row r="14">
          <cell r="B14" t="str">
            <v>删除FLG</v>
          </cell>
          <cell r="C14" t="str">
            <v>delete_flg</v>
          </cell>
          <cell r="D14" t="str">
            <v>char(1)</v>
          </cell>
          <cell r="E14">
            <v>0</v>
          </cell>
          <cell r="F14">
            <v>0</v>
          </cell>
          <cell r="G14">
            <v>1</v>
          </cell>
          <cell r="H14">
            <v>1</v>
          </cell>
          <cell r="I14" t="str">
            <v>deleteFlg</v>
          </cell>
        </row>
        <row r="15">
          <cell r="B15" t="str">
            <v>创建者</v>
          </cell>
          <cell r="C15" t="str">
            <v>ins_user</v>
          </cell>
          <cell r="D15" t="str">
            <v>varchar(20)</v>
          </cell>
          <cell r="E15">
            <v>0</v>
          </cell>
          <cell r="F15">
            <v>0</v>
          </cell>
          <cell r="G15">
            <v>1</v>
          </cell>
          <cell r="H15">
            <v>1</v>
          </cell>
          <cell r="I15" t="str">
            <v>insUser</v>
          </cell>
        </row>
        <row r="16">
          <cell r="B16" t="str">
            <v>创建时间</v>
          </cell>
          <cell r="C16" t="str">
            <v>ins_time</v>
          </cell>
          <cell r="D16" t="str">
            <v>datetime</v>
          </cell>
          <cell r="E16">
            <v>0</v>
          </cell>
          <cell r="F16">
            <v>0</v>
          </cell>
          <cell r="G16">
            <v>1</v>
          </cell>
          <cell r="H16">
            <v>1</v>
          </cell>
          <cell r="I16" t="str">
            <v>insTime</v>
          </cell>
        </row>
        <row r="17">
          <cell r="B17" t="str">
            <v>更新者</v>
          </cell>
          <cell r="C17" t="str">
            <v>upd_user</v>
          </cell>
          <cell r="D17" t="str">
            <v>varchar(20)</v>
          </cell>
          <cell r="E17">
            <v>0</v>
          </cell>
          <cell r="F17">
            <v>0</v>
          </cell>
          <cell r="G17">
            <v>1</v>
          </cell>
          <cell r="H17">
            <v>1</v>
          </cell>
          <cell r="I17" t="str">
            <v>updUser</v>
          </cell>
        </row>
        <row r="18">
          <cell r="B18" t="str">
            <v>更新时间</v>
          </cell>
          <cell r="C18" t="str">
            <v>upd_time</v>
          </cell>
          <cell r="D18" t="str">
            <v>datetime</v>
          </cell>
          <cell r="E18">
            <v>0</v>
          </cell>
          <cell r="F18">
            <v>0</v>
          </cell>
          <cell r="G18">
            <v>1</v>
          </cell>
          <cell r="H18">
            <v>1</v>
          </cell>
          <cell r="I18" t="str">
            <v>updTime</v>
          </cell>
        </row>
        <row r="19">
          <cell r="B19" t="str">
            <v>备用字段1</v>
          </cell>
          <cell r="C19" t="str">
            <v>reserve_col_1</v>
          </cell>
          <cell r="D19" t="str">
            <v>varchar(100)</v>
          </cell>
          <cell r="E19">
            <v>0</v>
          </cell>
          <cell r="F19">
            <v>0</v>
          </cell>
          <cell r="G19">
            <v>1</v>
          </cell>
          <cell r="H19">
            <v>1</v>
          </cell>
          <cell r="I19" t="str">
            <v>reserveCol1</v>
          </cell>
        </row>
        <row r="20">
          <cell r="B20" t="str">
            <v>备用字段2</v>
          </cell>
          <cell r="C20" t="str">
            <v>reserve_col_2</v>
          </cell>
          <cell r="D20" t="str">
            <v>varchar(100)</v>
          </cell>
          <cell r="E20">
            <v>0</v>
          </cell>
          <cell r="F20">
            <v>0</v>
          </cell>
          <cell r="G20">
            <v>1</v>
          </cell>
          <cell r="H20">
            <v>1</v>
          </cell>
          <cell r="I20" t="str">
            <v>reserveCol2</v>
          </cell>
        </row>
        <row r="21">
          <cell r="B21" t="str">
            <v>备用字段3</v>
          </cell>
          <cell r="C21" t="str">
            <v>reserve_col_3</v>
          </cell>
          <cell r="D21" t="str">
            <v>varchar(100)</v>
          </cell>
          <cell r="E21">
            <v>0</v>
          </cell>
          <cell r="F21">
            <v>0</v>
          </cell>
          <cell r="G21">
            <v>1</v>
          </cell>
          <cell r="H21">
            <v>1</v>
          </cell>
          <cell r="I21" t="str">
            <v>reserveCol3</v>
          </cell>
        </row>
        <row r="22">
          <cell r="B22" t="str">
            <v>备用字段4</v>
          </cell>
          <cell r="C22" t="str">
            <v>reserve_col_4</v>
          </cell>
          <cell r="D22" t="str">
            <v>varchar(100)</v>
          </cell>
          <cell r="E22">
            <v>0</v>
          </cell>
          <cell r="F22">
            <v>0</v>
          </cell>
          <cell r="G22">
            <v>1</v>
          </cell>
          <cell r="H22">
            <v>1</v>
          </cell>
          <cell r="I22" t="str">
            <v>reserveCol4</v>
          </cell>
        </row>
        <row r="23">
          <cell r="B23" t="str">
            <v>备用字段5</v>
          </cell>
          <cell r="C23" t="str">
            <v>reserve_col_5</v>
          </cell>
          <cell r="D23" t="str">
            <v>varchar(100)</v>
          </cell>
          <cell r="E23">
            <v>0</v>
          </cell>
          <cell r="F23">
            <v>0</v>
          </cell>
          <cell r="G23">
            <v>1</v>
          </cell>
          <cell r="H23">
            <v>1</v>
          </cell>
          <cell r="I23" t="str">
            <v>reserveCol5</v>
          </cell>
        </row>
        <row r="24">
          <cell r="B24" t="str">
            <v>公告大分类</v>
          </cell>
          <cell r="C24" t="str">
            <v>publish_a_type</v>
          </cell>
          <cell r="D24" t="str">
            <v>char(2)</v>
          </cell>
          <cell r="E24">
            <v>0</v>
          </cell>
          <cell r="F24">
            <v>0</v>
          </cell>
          <cell r="G24">
            <v>1</v>
          </cell>
          <cell r="H24">
            <v>1</v>
          </cell>
          <cell r="I24" t="str">
            <v>publishAType</v>
          </cell>
        </row>
        <row r="25">
          <cell r="B25" t="str">
            <v>公告大分类值</v>
          </cell>
          <cell r="C25" t="str">
            <v>publish_a_type_value</v>
          </cell>
          <cell r="D25" t="str">
            <v>varchar(20)</v>
          </cell>
          <cell r="E25">
            <v>0</v>
          </cell>
          <cell r="F25">
            <v>0</v>
          </cell>
          <cell r="G25">
            <v>1</v>
          </cell>
          <cell r="H25">
            <v>1</v>
          </cell>
          <cell r="I25" t="str">
            <v>publishATypeValue</v>
          </cell>
        </row>
        <row r="26">
          <cell r="B26" t="str">
            <v>公告小分类</v>
          </cell>
          <cell r="C26" t="str">
            <v>publish_b_type</v>
          </cell>
          <cell r="D26" t="str">
            <v>char(2)</v>
          </cell>
          <cell r="E26">
            <v>0</v>
          </cell>
          <cell r="F26">
            <v>0</v>
          </cell>
          <cell r="G26">
            <v>1</v>
          </cell>
          <cell r="H26">
            <v>1</v>
          </cell>
          <cell r="I26" t="str">
            <v>publishBType</v>
          </cell>
        </row>
        <row r="27">
          <cell r="B27" t="str">
            <v>公告小分类值</v>
          </cell>
          <cell r="C27" t="str">
            <v>publish_b_type_value</v>
          </cell>
          <cell r="D27" t="str">
            <v>varchar(20)</v>
          </cell>
          <cell r="E27">
            <v>0</v>
          </cell>
          <cell r="F27">
            <v>0</v>
          </cell>
          <cell r="G27">
            <v>1</v>
          </cell>
          <cell r="H27">
            <v>1</v>
          </cell>
          <cell r="I27" t="str">
            <v>publishBTypeValue</v>
          </cell>
        </row>
        <row r="28">
          <cell r="B28" t="str">
            <v>标题</v>
          </cell>
          <cell r="C28" t="str">
            <v>title</v>
          </cell>
          <cell r="D28" t="str">
            <v>varchar(50)</v>
          </cell>
          <cell r="E28">
            <v>0</v>
          </cell>
          <cell r="F28">
            <v>0</v>
          </cell>
          <cell r="G28">
            <v>1</v>
          </cell>
          <cell r="H28">
            <v>1</v>
          </cell>
          <cell r="I28" t="str">
            <v>title</v>
          </cell>
        </row>
        <row r="29">
          <cell r="B29" t="str">
            <v>内容</v>
          </cell>
          <cell r="C29" t="str">
            <v>content</v>
          </cell>
          <cell r="D29" t="str">
            <v>text</v>
          </cell>
          <cell r="E29">
            <v>0</v>
          </cell>
          <cell r="F29">
            <v>0</v>
          </cell>
          <cell r="G29">
            <v>1</v>
          </cell>
          <cell r="H29">
            <v>1</v>
          </cell>
          <cell r="I29" t="str">
            <v>content</v>
          </cell>
        </row>
        <row r="30">
          <cell r="B30" t="str">
            <v>文件编号</v>
          </cell>
          <cell r="C30" t="str">
            <v>file_No</v>
          </cell>
          <cell r="D30" t="str">
            <v>varchar(20)</v>
          </cell>
          <cell r="E30">
            <v>0</v>
          </cell>
          <cell r="F30">
            <v>0</v>
          </cell>
          <cell r="G30">
            <v>1</v>
          </cell>
          <cell r="H30">
            <v>1</v>
          </cell>
          <cell r="I30" t="str">
            <v>fileNo</v>
          </cell>
        </row>
        <row r="31">
          <cell r="B31" t="str">
            <v>序号</v>
          </cell>
          <cell r="C31" t="str">
            <v>No</v>
          </cell>
          <cell r="D31" t="str">
            <v>int</v>
          </cell>
          <cell r="E31">
            <v>0</v>
          </cell>
          <cell r="F31">
            <v>0</v>
          </cell>
          <cell r="G31">
            <v>1</v>
          </cell>
          <cell r="H31">
            <v>1</v>
          </cell>
          <cell r="I31" t="str">
            <v>No</v>
          </cell>
        </row>
        <row r="32">
          <cell r="B32" t="str">
            <v>文件类型</v>
          </cell>
          <cell r="C32" t="str">
            <v>file_type</v>
          </cell>
          <cell r="D32" t="str">
            <v>char(2)</v>
          </cell>
          <cell r="E32">
            <v>0</v>
          </cell>
          <cell r="F32">
            <v>0</v>
          </cell>
          <cell r="G32">
            <v>1</v>
          </cell>
          <cell r="H32">
            <v>1</v>
          </cell>
          <cell r="I32" t="str">
            <v>fileType</v>
          </cell>
        </row>
        <row r="33">
          <cell r="B33" t="str">
            <v>文件路径</v>
          </cell>
          <cell r="C33" t="str">
            <v>file_path</v>
          </cell>
          <cell r="D33" t="str">
            <v>varchar(200)</v>
          </cell>
          <cell r="E33">
            <v>0</v>
          </cell>
          <cell r="F33">
            <v>0</v>
          </cell>
          <cell r="G33">
            <v>1</v>
          </cell>
          <cell r="H33">
            <v>1</v>
          </cell>
          <cell r="I33" t="str">
            <v>filePath</v>
          </cell>
        </row>
        <row r="34">
          <cell r="B34" t="str">
            <v>校园资讯分类</v>
          </cell>
          <cell r="C34" t="str">
            <v>campus_information_type</v>
          </cell>
          <cell r="D34" t="str">
            <v>char(2)</v>
          </cell>
          <cell r="E34">
            <v>0</v>
          </cell>
          <cell r="F34">
            <v>0</v>
          </cell>
          <cell r="G34">
            <v>1</v>
          </cell>
          <cell r="H34">
            <v>1</v>
          </cell>
          <cell r="I34" t="str">
            <v>campusInformationType</v>
          </cell>
        </row>
        <row r="35">
          <cell r="B35" t="str">
            <v>校园资讯分类值</v>
          </cell>
          <cell r="C35" t="str">
            <v>campus_information_type_value</v>
          </cell>
          <cell r="D35" t="str">
            <v>varchar(20)</v>
          </cell>
          <cell r="E35">
            <v>0</v>
          </cell>
          <cell r="F35">
            <v>0</v>
          </cell>
          <cell r="G35">
            <v>1</v>
          </cell>
          <cell r="H35">
            <v>1</v>
          </cell>
          <cell r="I35" t="str">
            <v>campusInformationTypeValue</v>
          </cell>
        </row>
        <row r="36">
          <cell r="B36" t="str">
            <v>班级编号</v>
          </cell>
          <cell r="C36" t="str">
            <v>class_No</v>
          </cell>
          <cell r="D36" t="str">
            <v>varchar(20)</v>
          </cell>
          <cell r="E36">
            <v>0</v>
          </cell>
          <cell r="F36">
            <v>0</v>
          </cell>
          <cell r="G36">
            <v>1</v>
          </cell>
          <cell r="H36">
            <v>1</v>
          </cell>
          <cell r="I36" t="str">
            <v>classNo</v>
          </cell>
        </row>
        <row r="37">
          <cell r="B37" t="str">
            <v>发布时间</v>
          </cell>
          <cell r="C37" t="str">
            <v>publish_time</v>
          </cell>
          <cell r="D37" t="str">
            <v>datetime</v>
          </cell>
          <cell r="E37">
            <v>0</v>
          </cell>
          <cell r="F37">
            <v>0</v>
          </cell>
          <cell r="G37">
            <v>1</v>
          </cell>
          <cell r="H37">
            <v>1</v>
          </cell>
          <cell r="I37" t="str">
            <v>publishTime</v>
          </cell>
        </row>
        <row r="38">
          <cell r="B38" t="str">
            <v>家长编号</v>
          </cell>
          <cell r="C38" t="str">
            <v>parents_No</v>
          </cell>
          <cell r="D38" t="str">
            <v>varchar(50)</v>
          </cell>
          <cell r="E38">
            <v>0</v>
          </cell>
          <cell r="F38">
            <v>0</v>
          </cell>
          <cell r="G38">
            <v>1</v>
          </cell>
          <cell r="H38">
            <v>2</v>
          </cell>
          <cell r="I38" t="str">
            <v>parentsNo</v>
          </cell>
        </row>
        <row r="39">
          <cell r="B39" t="str">
            <v>性别</v>
          </cell>
          <cell r="C39" t="str">
            <v>sex</v>
          </cell>
          <cell r="D39" t="str">
            <v>char(1)</v>
          </cell>
          <cell r="E39">
            <v>0</v>
          </cell>
          <cell r="F39">
            <v>0</v>
          </cell>
          <cell r="G39">
            <v>1</v>
          </cell>
          <cell r="H39">
            <v>1</v>
          </cell>
          <cell r="I39" t="str">
            <v>sex</v>
          </cell>
        </row>
        <row r="40">
          <cell r="B40" t="str">
            <v>性别值</v>
          </cell>
          <cell r="C40" t="str">
            <v>sex_value</v>
          </cell>
          <cell r="D40" t="str">
            <v>varchar(20)</v>
          </cell>
          <cell r="E40">
            <v>0</v>
          </cell>
          <cell r="F40">
            <v>0</v>
          </cell>
          <cell r="G40">
            <v>1</v>
          </cell>
          <cell r="H40">
            <v>1</v>
          </cell>
          <cell r="I40" t="str">
            <v>sexValue</v>
          </cell>
        </row>
        <row r="41">
          <cell r="B41" t="str">
            <v>微信号</v>
          </cell>
          <cell r="C41" t="str">
            <v>wewhat_No</v>
          </cell>
          <cell r="D41" t="str">
            <v>varchar(100)</v>
          </cell>
          <cell r="E41">
            <v>0</v>
          </cell>
          <cell r="F41">
            <v>0</v>
          </cell>
          <cell r="G41">
            <v>1</v>
          </cell>
          <cell r="H41">
            <v>1</v>
          </cell>
          <cell r="I41" t="str">
            <v>wewhatNo</v>
          </cell>
        </row>
        <row r="42">
          <cell r="B42" t="str">
            <v>微信昵称</v>
          </cell>
          <cell r="C42" t="str">
            <v>wewhat_name</v>
          </cell>
          <cell r="D42" t="str">
            <v>varchar(100)</v>
          </cell>
          <cell r="E42">
            <v>0</v>
          </cell>
          <cell r="F42">
            <v>0</v>
          </cell>
          <cell r="G42">
            <v>1</v>
          </cell>
          <cell r="H42">
            <v>1</v>
          </cell>
          <cell r="I42" t="str">
            <v>wewhatName</v>
          </cell>
        </row>
        <row r="43">
          <cell r="B43" t="str">
            <v>手机号</v>
          </cell>
          <cell r="C43" t="str">
            <v>phone_number</v>
          </cell>
          <cell r="D43" t="str">
            <v>varchar(20)</v>
          </cell>
          <cell r="E43">
            <v>0</v>
          </cell>
          <cell r="F43">
            <v>0</v>
          </cell>
          <cell r="G43">
            <v>1</v>
          </cell>
          <cell r="H43">
            <v>1</v>
          </cell>
          <cell r="I43" t="str">
            <v>phoneNumber</v>
          </cell>
        </row>
        <row r="44">
          <cell r="B44" t="str">
            <v>openid</v>
          </cell>
          <cell r="C44" t="str">
            <v>open_id</v>
          </cell>
          <cell r="D44" t="str">
            <v>varchar(50)</v>
          </cell>
          <cell r="E44">
            <v>0</v>
          </cell>
          <cell r="F44">
            <v>0</v>
          </cell>
          <cell r="G44">
            <v>1</v>
          </cell>
          <cell r="H44">
            <v>1</v>
          </cell>
          <cell r="I44" t="str">
            <v>openId</v>
          </cell>
        </row>
        <row r="45">
          <cell r="B45" t="str">
            <v>unionid</v>
          </cell>
          <cell r="C45" t="str">
            <v>union_id</v>
          </cell>
          <cell r="D45" t="str">
            <v>varchar(50)</v>
          </cell>
          <cell r="E45">
            <v>0</v>
          </cell>
          <cell r="F45">
            <v>0</v>
          </cell>
          <cell r="G45">
            <v>1</v>
          </cell>
          <cell r="H45">
            <v>1</v>
          </cell>
          <cell r="I45" t="str">
            <v>unionId</v>
          </cell>
        </row>
        <row r="46">
          <cell r="B46" t="str">
            <v>学生编号</v>
          </cell>
          <cell r="C46" t="str">
            <v>student_No</v>
          </cell>
          <cell r="D46" t="str">
            <v>varchar(50)</v>
          </cell>
          <cell r="E46">
            <v>0</v>
          </cell>
          <cell r="F46">
            <v>0</v>
          </cell>
          <cell r="G46">
            <v>1</v>
          </cell>
          <cell r="H46">
            <v>1</v>
          </cell>
          <cell r="I46" t="str">
            <v>studentNo</v>
          </cell>
        </row>
        <row r="47">
          <cell r="B47" t="str">
            <v>学校编号</v>
          </cell>
          <cell r="C47" t="str">
            <v>school_No</v>
          </cell>
          <cell r="D47" t="str">
            <v>varchar(50)</v>
          </cell>
          <cell r="E47">
            <v>0</v>
          </cell>
          <cell r="F47">
            <v>0</v>
          </cell>
          <cell r="G47">
            <v>1</v>
          </cell>
          <cell r="H47">
            <v>1</v>
          </cell>
          <cell r="I47" t="str">
            <v>schoolNo</v>
          </cell>
        </row>
        <row r="48">
          <cell r="B48" t="str">
            <v>学校名称</v>
          </cell>
          <cell r="C48" t="str">
            <v>school_Name</v>
          </cell>
          <cell r="D48" t="str">
            <v>varchar(50)</v>
          </cell>
          <cell r="E48">
            <v>0</v>
          </cell>
          <cell r="F48">
            <v>0</v>
          </cell>
          <cell r="G48">
            <v>1</v>
          </cell>
          <cell r="H48">
            <v>1</v>
          </cell>
          <cell r="I48" t="str">
            <v>schoolName</v>
          </cell>
        </row>
        <row r="49">
          <cell r="B49" t="str">
            <v>名称</v>
          </cell>
          <cell r="C49" t="str">
            <v>name</v>
          </cell>
          <cell r="D49" t="str">
            <v>varchar(50)</v>
          </cell>
          <cell r="E49">
            <v>0</v>
          </cell>
          <cell r="F49">
            <v>0</v>
          </cell>
          <cell r="G49">
            <v>1</v>
          </cell>
          <cell r="H49">
            <v>1</v>
          </cell>
          <cell r="I49" t="str">
            <v>name</v>
          </cell>
        </row>
        <row r="50">
          <cell r="B50" t="str">
            <v>疫苗编号</v>
          </cell>
          <cell r="C50" t="str">
            <v>vaccine_No</v>
          </cell>
          <cell r="D50" t="str">
            <v>varchar(100)</v>
          </cell>
          <cell r="E50">
            <v>0</v>
          </cell>
          <cell r="F50">
            <v>0</v>
          </cell>
          <cell r="G50">
            <v>1</v>
          </cell>
          <cell r="H50">
            <v>1</v>
          </cell>
          <cell r="I50" t="str">
            <v>vaccineNo</v>
          </cell>
        </row>
        <row r="51">
          <cell r="B51" t="str">
            <v>接种日期</v>
          </cell>
          <cell r="C51" t="str">
            <v>vaccination_date</v>
          </cell>
          <cell r="D51" t="str">
            <v>datetime</v>
          </cell>
          <cell r="E51">
            <v>0</v>
          </cell>
          <cell r="F51">
            <v>0</v>
          </cell>
          <cell r="G51">
            <v>1</v>
          </cell>
          <cell r="H51">
            <v>1</v>
          </cell>
          <cell r="I51" t="str">
            <v>vaccinationDate</v>
          </cell>
        </row>
        <row r="52">
          <cell r="B52" t="str">
            <v>是否接种flg</v>
          </cell>
          <cell r="C52" t="str">
            <v>vaccination_flg</v>
          </cell>
          <cell r="D52" t="str">
            <v>char(2)</v>
          </cell>
          <cell r="E52">
            <v>0</v>
          </cell>
          <cell r="F52">
            <v>0</v>
          </cell>
          <cell r="G52">
            <v>1</v>
          </cell>
          <cell r="H52">
            <v>1</v>
          </cell>
          <cell r="I52" t="str">
            <v>vaccinationFlg</v>
          </cell>
        </row>
        <row r="53">
          <cell r="B53" t="str">
            <v>疫苗标题</v>
          </cell>
          <cell r="C53" t="str">
            <v>vaccine_name</v>
          </cell>
          <cell r="D53" t="str">
            <v>varchar(50)</v>
          </cell>
          <cell r="E53">
            <v>0</v>
          </cell>
          <cell r="F53">
            <v>0</v>
          </cell>
          <cell r="G53">
            <v>1</v>
          </cell>
          <cell r="H53">
            <v>1</v>
          </cell>
          <cell r="I53" t="str">
            <v>vaccineName</v>
          </cell>
        </row>
        <row r="54">
          <cell r="B54" t="str">
            <v>应种日期描述</v>
          </cell>
          <cell r="C54" t="str">
            <v>vaccination_txt</v>
          </cell>
          <cell r="D54" t="str">
            <v>varchar(50)</v>
          </cell>
          <cell r="E54">
            <v>0</v>
          </cell>
          <cell r="F54">
            <v>0</v>
          </cell>
          <cell r="G54">
            <v>1</v>
          </cell>
          <cell r="H54">
            <v>1</v>
          </cell>
          <cell r="I54" t="str">
            <v>vaccinationTxt</v>
          </cell>
        </row>
        <row r="55">
          <cell r="B55" t="str">
            <v>介绍</v>
          </cell>
          <cell r="C55" t="str">
            <v>introduction</v>
          </cell>
          <cell r="D55" t="str">
            <v>varchar(200)</v>
          </cell>
          <cell r="E55">
            <v>0</v>
          </cell>
          <cell r="F55">
            <v>0</v>
          </cell>
          <cell r="G55">
            <v>1</v>
          </cell>
          <cell r="H55">
            <v>1</v>
          </cell>
          <cell r="I55" t="str">
            <v>introduction</v>
          </cell>
        </row>
        <row r="56">
          <cell r="B56" t="str">
            <v>接种部位</v>
          </cell>
          <cell r="C56" t="str">
            <v>vaccination_parts</v>
          </cell>
          <cell r="D56" t="str">
            <v>varchar(50)</v>
          </cell>
          <cell r="E56">
            <v>0</v>
          </cell>
          <cell r="F56">
            <v>0</v>
          </cell>
          <cell r="G56">
            <v>1</v>
          </cell>
          <cell r="H56">
            <v>1</v>
          </cell>
          <cell r="I56" t="str">
            <v>vaccinationParts</v>
          </cell>
        </row>
        <row r="57">
          <cell r="B57" t="str">
            <v>接种后的反应</v>
          </cell>
          <cell r="C57" t="str">
            <v>vaccination_reaction</v>
          </cell>
          <cell r="D57" t="str">
            <v>varchar(200)</v>
          </cell>
          <cell r="E57">
            <v>0</v>
          </cell>
          <cell r="F57">
            <v>0</v>
          </cell>
          <cell r="G57">
            <v>1</v>
          </cell>
          <cell r="H57">
            <v>1</v>
          </cell>
          <cell r="I57" t="str">
            <v>vaccinationReaction</v>
          </cell>
        </row>
        <row r="58">
          <cell r="B58" t="str">
            <v>不能接种情况</v>
          </cell>
          <cell r="C58" t="str">
            <v>not_vaccination_txt</v>
          </cell>
          <cell r="D58" t="str">
            <v>varchar(200)</v>
          </cell>
          <cell r="E58">
            <v>0</v>
          </cell>
          <cell r="F58">
            <v>0</v>
          </cell>
          <cell r="G58">
            <v>1</v>
          </cell>
          <cell r="H58">
            <v>1</v>
          </cell>
          <cell r="I58" t="str">
            <v>notVaccinationTxt</v>
          </cell>
        </row>
        <row r="59">
          <cell r="B59" t="str">
            <v>教师编号</v>
          </cell>
          <cell r="C59" t="str">
            <v>teacher_No</v>
          </cell>
          <cell r="D59" t="str">
            <v>varchar(50)</v>
          </cell>
          <cell r="E59">
            <v>0</v>
          </cell>
          <cell r="F59">
            <v>0</v>
          </cell>
          <cell r="G59">
            <v>1</v>
          </cell>
          <cell r="H59">
            <v>1</v>
          </cell>
          <cell r="I59" t="str">
            <v>teacherNo</v>
          </cell>
        </row>
        <row r="60">
          <cell r="B60" t="str">
            <v>教师名称</v>
          </cell>
          <cell r="C60" t="str">
            <v>teacher_name</v>
          </cell>
          <cell r="D60" t="str">
            <v>varchar(50)</v>
          </cell>
          <cell r="E60">
            <v>0</v>
          </cell>
          <cell r="F60">
            <v>0</v>
          </cell>
          <cell r="G60">
            <v>1</v>
          </cell>
          <cell r="H60">
            <v>1</v>
          </cell>
          <cell r="I60" t="str">
            <v>teacherName</v>
          </cell>
        </row>
        <row r="61">
          <cell r="B61" t="str">
            <v>职位</v>
          </cell>
          <cell r="C61" t="str">
            <v>position</v>
          </cell>
          <cell r="D61" t="str">
            <v>char(2)</v>
          </cell>
          <cell r="E61">
            <v>0</v>
          </cell>
          <cell r="F61">
            <v>0</v>
          </cell>
          <cell r="G61">
            <v>1</v>
          </cell>
          <cell r="H61">
            <v>1</v>
          </cell>
          <cell r="I61" t="str">
            <v>position</v>
          </cell>
        </row>
        <row r="62">
          <cell r="B62" t="str">
            <v>请假条id</v>
          </cell>
          <cell r="C62" t="str">
            <v>request_id</v>
          </cell>
          <cell r="D62" t="str">
            <v>bigint(20)</v>
          </cell>
          <cell r="E62">
            <v>0</v>
          </cell>
          <cell r="F62">
            <v>0</v>
          </cell>
          <cell r="G62">
            <v>1</v>
          </cell>
          <cell r="H62">
            <v>1</v>
          </cell>
          <cell r="I62" t="str">
            <v>requestId</v>
          </cell>
        </row>
        <row r="63">
          <cell r="B63" t="str">
            <v>请假类型</v>
          </cell>
          <cell r="C63" t="str">
            <v>request_type</v>
          </cell>
          <cell r="D63" t="str">
            <v>char(1)</v>
          </cell>
          <cell r="E63">
            <v>0</v>
          </cell>
          <cell r="F63">
            <v>0</v>
          </cell>
          <cell r="G63">
            <v>1</v>
          </cell>
          <cell r="H63">
            <v>1</v>
          </cell>
          <cell r="I63" t="str">
            <v>requestType</v>
          </cell>
        </row>
        <row r="64">
          <cell r="B64" t="str">
            <v>请假类型值</v>
          </cell>
          <cell r="C64" t="str">
            <v>request_type_value</v>
          </cell>
          <cell r="D64" t="str">
            <v>varchar(20)</v>
          </cell>
          <cell r="E64">
            <v>0</v>
          </cell>
          <cell r="F64">
            <v>0</v>
          </cell>
          <cell r="G64">
            <v>1</v>
          </cell>
          <cell r="H64">
            <v>1</v>
          </cell>
          <cell r="I64" t="str">
            <v>requestTypeValue</v>
          </cell>
        </row>
        <row r="65">
          <cell r="B65" t="str">
            <v>食谱分类</v>
          </cell>
          <cell r="C65" t="str">
            <v>recipe_type</v>
          </cell>
          <cell r="D65" t="str">
            <v>char(2)</v>
          </cell>
          <cell r="E65">
            <v>0</v>
          </cell>
          <cell r="F65">
            <v>0</v>
          </cell>
          <cell r="G65">
            <v>1</v>
          </cell>
          <cell r="H65">
            <v>1</v>
          </cell>
          <cell r="I65" t="str">
            <v>recipeType</v>
          </cell>
        </row>
        <row r="66">
          <cell r="B66" t="str">
            <v>食谱id</v>
          </cell>
          <cell r="C66" t="str">
            <v>recipe_id</v>
          </cell>
          <cell r="D66" t="str">
            <v>bigint(20)</v>
          </cell>
          <cell r="E66">
            <v>0</v>
          </cell>
          <cell r="F66">
            <v>0</v>
          </cell>
          <cell r="G66">
            <v>1</v>
          </cell>
          <cell r="H66">
            <v>1</v>
          </cell>
          <cell r="I66" t="str">
            <v>recipeId</v>
          </cell>
        </row>
        <row r="67">
          <cell r="B67" t="str">
            <v>菜肴id</v>
          </cell>
          <cell r="C67" t="str">
            <v>dishes_id</v>
          </cell>
          <cell r="D67" t="str">
            <v>bigint(20)</v>
          </cell>
          <cell r="E67">
            <v>0</v>
          </cell>
          <cell r="F67">
            <v>0</v>
          </cell>
          <cell r="G67">
            <v>1</v>
          </cell>
          <cell r="H67">
            <v>1</v>
          </cell>
          <cell r="I67" t="str">
            <v>dishesId</v>
          </cell>
        </row>
        <row r="68">
          <cell r="B68" t="str">
            <v>菜肴编号</v>
          </cell>
          <cell r="C68" t="str">
            <v>dishes_No</v>
          </cell>
          <cell r="D68" t="str">
            <v>varchar(50)</v>
          </cell>
          <cell r="E68">
            <v>0</v>
          </cell>
          <cell r="F68">
            <v>0</v>
          </cell>
          <cell r="G68">
            <v>1</v>
          </cell>
          <cell r="H68">
            <v>1</v>
          </cell>
          <cell r="I68" t="str">
            <v>dishesNo</v>
          </cell>
        </row>
        <row r="69">
          <cell r="B69" t="str">
            <v>数量</v>
          </cell>
          <cell r="C69" t="str">
            <v>number</v>
          </cell>
          <cell r="D69" t="str">
            <v>decimal(20,2)</v>
          </cell>
          <cell r="E69">
            <v>0</v>
          </cell>
          <cell r="F69">
            <v>0</v>
          </cell>
          <cell r="G69">
            <v>1</v>
          </cell>
          <cell r="H69">
            <v>1</v>
          </cell>
          <cell r="I69" t="str">
            <v>number</v>
          </cell>
        </row>
        <row r="70">
          <cell r="B70" t="str">
            <v>卡路里</v>
          </cell>
          <cell r="C70" t="str">
            <v>calories</v>
          </cell>
          <cell r="D70" t="str">
            <v>decimal(20,2)</v>
          </cell>
          <cell r="E70">
            <v>0</v>
          </cell>
          <cell r="F70">
            <v>0</v>
          </cell>
          <cell r="G70">
            <v>1</v>
          </cell>
          <cell r="H70">
            <v>1</v>
          </cell>
          <cell r="I70" t="str">
            <v>calories</v>
          </cell>
        </row>
        <row r="71">
          <cell r="B71" t="str">
            <v>食材编号</v>
          </cell>
          <cell r="C71" t="str">
            <v>ingredients_No</v>
          </cell>
          <cell r="D71" t="str">
            <v>varchar(50)</v>
          </cell>
          <cell r="E71">
            <v>0</v>
          </cell>
          <cell r="F71">
            <v>0</v>
          </cell>
          <cell r="G71">
            <v>1</v>
          </cell>
          <cell r="H71">
            <v>1</v>
          </cell>
          <cell r="I71" t="str">
            <v>ingredientsNo</v>
          </cell>
        </row>
        <row r="72">
          <cell r="B72" t="str">
            <v>身高</v>
          </cell>
          <cell r="C72" t="str">
            <v>height</v>
          </cell>
          <cell r="D72" t="str">
            <v>varchar(50)</v>
          </cell>
          <cell r="E72">
            <v>0</v>
          </cell>
          <cell r="F72">
            <v>0</v>
          </cell>
          <cell r="G72">
            <v>1</v>
          </cell>
          <cell r="H72">
            <v>1</v>
          </cell>
          <cell r="I72" t="str">
            <v>height</v>
          </cell>
        </row>
        <row r="73">
          <cell r="B73" t="str">
            <v>体重</v>
          </cell>
          <cell r="C73" t="str">
            <v>weight</v>
          </cell>
          <cell r="D73" t="str">
            <v>varchar(50)</v>
          </cell>
          <cell r="E73">
            <v>0</v>
          </cell>
          <cell r="F73">
            <v>0</v>
          </cell>
          <cell r="G73">
            <v>1</v>
          </cell>
          <cell r="H73">
            <v>1</v>
          </cell>
          <cell r="I73" t="str">
            <v>weight</v>
          </cell>
        </row>
        <row r="74">
          <cell r="B74" t="str">
            <v>胸围</v>
          </cell>
          <cell r="C74" t="str">
            <v>bust</v>
          </cell>
          <cell r="D74" t="str">
            <v>varchar(50)</v>
          </cell>
          <cell r="E74">
            <v>0</v>
          </cell>
          <cell r="F74">
            <v>0</v>
          </cell>
          <cell r="G74">
            <v>1</v>
          </cell>
          <cell r="H74">
            <v>1</v>
          </cell>
          <cell r="I74" t="str">
            <v>bust</v>
          </cell>
        </row>
        <row r="75">
          <cell r="B75" t="str">
            <v>头围</v>
          </cell>
          <cell r="C75" t="str">
            <v>head_circumference</v>
          </cell>
          <cell r="D75" t="str">
            <v>varchar(50)</v>
          </cell>
          <cell r="E75">
            <v>0</v>
          </cell>
          <cell r="F75">
            <v>0</v>
          </cell>
          <cell r="G75">
            <v>1</v>
          </cell>
          <cell r="H75">
            <v>1</v>
          </cell>
          <cell r="I75" t="str">
            <v>headCircumference</v>
          </cell>
        </row>
        <row r="76">
          <cell r="B76" t="str">
            <v>体重类型</v>
          </cell>
          <cell r="C76" t="str">
            <v>weight_type</v>
          </cell>
          <cell r="D76" t="str">
            <v>char(2)</v>
          </cell>
          <cell r="E76">
            <v>0</v>
          </cell>
          <cell r="F76">
            <v>0</v>
          </cell>
          <cell r="G76">
            <v>1</v>
          </cell>
          <cell r="H76">
            <v>1</v>
          </cell>
          <cell r="I76" t="str">
            <v>weightType</v>
          </cell>
        </row>
        <row r="77">
          <cell r="B77" t="str">
            <v>体重类型值</v>
          </cell>
          <cell r="C77" t="str">
            <v>weight_type_text</v>
          </cell>
          <cell r="D77" t="str">
            <v>varchar(20)</v>
          </cell>
          <cell r="E77">
            <v>0</v>
          </cell>
          <cell r="F77">
            <v>0</v>
          </cell>
          <cell r="G77">
            <v>1</v>
          </cell>
          <cell r="H77">
            <v>1</v>
          </cell>
          <cell r="I77" t="str">
            <v>weightTypeText</v>
          </cell>
        </row>
        <row r="78">
          <cell r="B78" t="str">
            <v>记录日期</v>
          </cell>
          <cell r="C78" t="str">
            <v>credited_date</v>
          </cell>
          <cell r="D78" t="str">
            <v>datetime</v>
          </cell>
          <cell r="E78">
            <v>0</v>
          </cell>
          <cell r="F78">
            <v>0</v>
          </cell>
          <cell r="G78">
            <v>1</v>
          </cell>
          <cell r="H78">
            <v>1</v>
          </cell>
          <cell r="I78" t="str">
            <v>creditedDate</v>
          </cell>
        </row>
        <row r="79">
          <cell r="B79" t="str">
            <v>正常体重范围</v>
          </cell>
          <cell r="C79" t="str">
            <v>weight_range</v>
          </cell>
          <cell r="D79" t="str">
            <v>varchar(50)</v>
          </cell>
          <cell r="E79">
            <v>0</v>
          </cell>
          <cell r="F79">
            <v>0</v>
          </cell>
          <cell r="G79">
            <v>1</v>
          </cell>
          <cell r="H79">
            <v>1</v>
          </cell>
          <cell r="I79" t="str">
            <v>weightRange</v>
          </cell>
        </row>
        <row r="80">
          <cell r="B80" t="str">
            <v>当前登录用户ID</v>
          </cell>
          <cell r="C80" t="str">
            <v>curUserId</v>
          </cell>
          <cell r="D80" t="str">
            <v>varchar(50)</v>
          </cell>
          <cell r="E80">
            <v>0</v>
          </cell>
          <cell r="F80">
            <v>0</v>
          </cell>
          <cell r="G80">
            <v>1</v>
          </cell>
          <cell r="H80">
            <v>1</v>
          </cell>
          <cell r="I80" t="str">
            <v>curUserId</v>
          </cell>
        </row>
        <row r="81">
          <cell r="B81" t="str">
            <v>当前登录用户名</v>
          </cell>
          <cell r="C81" t="str">
            <v>curLoginName</v>
          </cell>
          <cell r="D81" t="str">
            <v>varchar(50)</v>
          </cell>
          <cell r="E81">
            <v>0</v>
          </cell>
          <cell r="F81">
            <v>0</v>
          </cell>
          <cell r="G81">
            <v>1</v>
          </cell>
          <cell r="H81">
            <v>1</v>
          </cell>
          <cell r="I81" t="str">
            <v>curLoginName</v>
          </cell>
        </row>
        <row r="82">
          <cell r="B82" t="str">
            <v>出生日期</v>
          </cell>
          <cell r="C82" t="str">
            <v>date_of_birth</v>
          </cell>
          <cell r="D82" t="str">
            <v>date</v>
          </cell>
          <cell r="E82">
            <v>0</v>
          </cell>
          <cell r="F82">
            <v>0</v>
          </cell>
          <cell r="G82">
            <v>1</v>
          </cell>
          <cell r="H82">
            <v>1</v>
          </cell>
          <cell r="I82" t="str">
            <v>dateOfBirth</v>
          </cell>
        </row>
        <row r="83">
          <cell r="B83" t="str">
            <v>年龄文字</v>
          </cell>
          <cell r="C83" t="str">
            <v>age_text</v>
          </cell>
          <cell r="D83" t="str">
            <v>varchar(50)</v>
          </cell>
          <cell r="E83">
            <v>0</v>
          </cell>
          <cell r="F83">
            <v>0</v>
          </cell>
          <cell r="G83">
            <v>1</v>
          </cell>
          <cell r="H83">
            <v>1</v>
          </cell>
          <cell r="I83" t="str">
            <v>ageText</v>
          </cell>
        </row>
        <row r="84">
          <cell r="B84" t="str">
            <v>学校通知数</v>
          </cell>
          <cell r="C84" t="str">
            <v>school_msg_cnt</v>
          </cell>
          <cell r="D84" t="str">
            <v>int</v>
          </cell>
          <cell r="E84">
            <v>0</v>
          </cell>
          <cell r="F84">
            <v>0</v>
          </cell>
          <cell r="G84">
            <v>1</v>
          </cell>
          <cell r="H84">
            <v>1</v>
          </cell>
          <cell r="I84" t="str">
            <v>schoolMsgCnt</v>
          </cell>
        </row>
        <row r="85">
          <cell r="B85" t="str">
            <v>班级通知数</v>
          </cell>
          <cell r="C85" t="str">
            <v>class_msg_cnt</v>
          </cell>
          <cell r="D85" t="str">
            <v>int</v>
          </cell>
          <cell r="E85">
            <v>0</v>
          </cell>
          <cell r="F85">
            <v>0</v>
          </cell>
          <cell r="G85">
            <v>1</v>
          </cell>
          <cell r="H85">
            <v>1</v>
          </cell>
          <cell r="I85" t="str">
            <v>classMsgCnt</v>
          </cell>
        </row>
        <row r="86">
          <cell r="B86" t="str">
            <v>学校活动数</v>
          </cell>
          <cell r="C86" t="str">
            <v>school_event_cnt</v>
          </cell>
          <cell r="D86" t="str">
            <v>int</v>
          </cell>
          <cell r="E86">
            <v>0</v>
          </cell>
          <cell r="F86">
            <v>0</v>
          </cell>
          <cell r="G86">
            <v>1</v>
          </cell>
          <cell r="H86">
            <v>1</v>
          </cell>
          <cell r="I86" t="str">
            <v>schoolEventCnt</v>
          </cell>
        </row>
        <row r="87">
          <cell r="B87" t="str">
            <v>请假数</v>
          </cell>
          <cell r="C87" t="str">
            <v>request_cnt</v>
          </cell>
          <cell r="D87" t="str">
            <v>int</v>
          </cell>
          <cell r="E87">
            <v>0</v>
          </cell>
          <cell r="F87">
            <v>0</v>
          </cell>
          <cell r="G87">
            <v>1</v>
          </cell>
          <cell r="H87">
            <v>1</v>
          </cell>
          <cell r="I87" t="str">
            <v>requestCnt</v>
          </cell>
        </row>
        <row r="88">
          <cell r="B88" t="str">
            <v>校园食谱数</v>
          </cell>
          <cell r="C88" t="str">
            <v>school_recipe_cnt</v>
          </cell>
          <cell r="D88" t="str">
            <v>int</v>
          </cell>
          <cell r="E88">
            <v>0</v>
          </cell>
          <cell r="F88">
            <v>0</v>
          </cell>
          <cell r="G88">
            <v>1</v>
          </cell>
          <cell r="H88">
            <v>1</v>
          </cell>
          <cell r="I88" t="str">
            <v>schoolRecipeCnt</v>
          </cell>
        </row>
        <row r="89">
          <cell r="B89" t="str">
            <v>最后数据id</v>
          </cell>
          <cell r="C89" t="str">
            <v>last_data_id</v>
          </cell>
          <cell r="D89" t="str">
            <v>varchar(50)</v>
          </cell>
          <cell r="E89">
            <v>0</v>
          </cell>
          <cell r="F89">
            <v>0</v>
          </cell>
          <cell r="G89">
            <v>1</v>
          </cell>
          <cell r="H89">
            <v>1</v>
          </cell>
          <cell r="I89" t="str">
            <v>lastDataId</v>
          </cell>
        </row>
        <row r="90">
          <cell r="B90" t="str">
            <v>请假id</v>
          </cell>
          <cell r="C90" t="str">
            <v>request_id</v>
          </cell>
          <cell r="D90" t="str">
            <v>bigint</v>
          </cell>
          <cell r="E90">
            <v>0</v>
          </cell>
          <cell r="F90">
            <v>0</v>
          </cell>
          <cell r="G90">
            <v>1</v>
          </cell>
          <cell r="H90">
            <v>1</v>
          </cell>
          <cell r="I90" t="str">
            <v>requestId</v>
          </cell>
        </row>
        <row r="91">
          <cell r="B91" t="str">
            <v>请假回复记录id</v>
          </cell>
          <cell r="C91" t="str">
            <v>request_detailed_id</v>
          </cell>
          <cell r="D91" t="str">
            <v>bigint</v>
          </cell>
          <cell r="E91">
            <v>0</v>
          </cell>
          <cell r="F91">
            <v>0</v>
          </cell>
          <cell r="G91">
            <v>1</v>
          </cell>
          <cell r="H91">
            <v>1</v>
          </cell>
          <cell r="I91" t="str">
            <v>requestDetailedId</v>
          </cell>
        </row>
        <row r="92">
          <cell r="B92" t="str">
            <v>菜肴分类</v>
          </cell>
          <cell r="C92" t="str">
            <v>dish_type</v>
          </cell>
          <cell r="D92" t="str">
            <v>varchar(20)</v>
          </cell>
          <cell r="E92">
            <v>0</v>
          </cell>
          <cell r="F92">
            <v>0</v>
          </cell>
          <cell r="G92">
            <v>1</v>
          </cell>
          <cell r="H92">
            <v>1</v>
          </cell>
          <cell r="I92" t="str">
            <v>dishType</v>
          </cell>
        </row>
        <row r="93">
          <cell r="B93" t="str">
            <v>菜肴分类名称</v>
          </cell>
          <cell r="C93" t="str">
            <v>dish_type_name</v>
          </cell>
          <cell r="D93" t="str">
            <v>varchar(50)</v>
          </cell>
          <cell r="E93">
            <v>0</v>
          </cell>
          <cell r="F93">
            <v>0</v>
          </cell>
          <cell r="G93">
            <v>1</v>
          </cell>
          <cell r="H93">
            <v>1</v>
          </cell>
          <cell r="I93" t="str">
            <v>dishTypeName</v>
          </cell>
        </row>
        <row r="94">
          <cell r="B94" t="str">
            <v>食材分类</v>
          </cell>
          <cell r="C94" t="str">
            <v>food_type</v>
          </cell>
          <cell r="D94" t="str">
            <v>varchar(20)</v>
          </cell>
          <cell r="E94">
            <v>0</v>
          </cell>
          <cell r="F94">
            <v>0</v>
          </cell>
          <cell r="G94">
            <v>1</v>
          </cell>
          <cell r="H94">
            <v>1</v>
          </cell>
          <cell r="I94" t="str">
            <v>foodType</v>
          </cell>
        </row>
        <row r="95">
          <cell r="B95" t="str">
            <v>食材分类名称</v>
          </cell>
          <cell r="C95" t="str">
            <v>food_type_name</v>
          </cell>
          <cell r="D95" t="str">
            <v>varchar(50)</v>
          </cell>
          <cell r="E95">
            <v>0</v>
          </cell>
          <cell r="F95">
            <v>0</v>
          </cell>
          <cell r="G95">
            <v>1</v>
          </cell>
          <cell r="H95">
            <v>1</v>
          </cell>
          <cell r="I95" t="str">
            <v>foodTypeName</v>
          </cell>
        </row>
        <row r="96">
          <cell r="B96" t="str">
            <v>热量</v>
          </cell>
          <cell r="C96" t="str">
            <v>cal</v>
          </cell>
          <cell r="D96" t="str">
            <v>varchar(20)</v>
          </cell>
          <cell r="E96">
            <v>0</v>
          </cell>
          <cell r="F96">
            <v>0</v>
          </cell>
          <cell r="G96">
            <v>1</v>
          </cell>
          <cell r="H96">
            <v>1</v>
          </cell>
          <cell r="I96" t="str">
            <v>cal</v>
          </cell>
        </row>
        <row r="97">
          <cell r="B97" t="str">
            <v>蛋白质</v>
          </cell>
          <cell r="C97" t="str">
            <v>pro</v>
          </cell>
          <cell r="D97" t="str">
            <v>varchar(20)</v>
          </cell>
          <cell r="E97">
            <v>0</v>
          </cell>
          <cell r="F97">
            <v>0</v>
          </cell>
          <cell r="G97">
            <v>1</v>
          </cell>
          <cell r="H97">
            <v>1</v>
          </cell>
          <cell r="I97" t="str">
            <v>pro</v>
          </cell>
        </row>
        <row r="98">
          <cell r="B98" t="str">
            <v>维生素A</v>
          </cell>
          <cell r="C98" t="str">
            <v>va</v>
          </cell>
          <cell r="D98" t="str">
            <v>varchar(20)</v>
          </cell>
          <cell r="E98">
            <v>0</v>
          </cell>
          <cell r="F98">
            <v>0</v>
          </cell>
          <cell r="G98">
            <v>1</v>
          </cell>
          <cell r="H98">
            <v>1</v>
          </cell>
          <cell r="I98" t="str">
            <v>va</v>
          </cell>
        </row>
        <row r="99">
          <cell r="B99" t="str">
            <v>视黄醇当量</v>
          </cell>
          <cell r="C99" t="str">
            <v>va2</v>
          </cell>
          <cell r="D99" t="str">
            <v>varchar(20)</v>
          </cell>
          <cell r="E99">
            <v>0</v>
          </cell>
          <cell r="F99">
            <v>0</v>
          </cell>
          <cell r="G99">
            <v>1</v>
          </cell>
          <cell r="H99">
            <v>1</v>
          </cell>
          <cell r="I99" t="str">
            <v>va2</v>
          </cell>
        </row>
        <row r="100">
          <cell r="B100" t="str">
            <v>尼克酸</v>
          </cell>
          <cell r="C100" t="str">
            <v>vb3</v>
          </cell>
          <cell r="D100" t="str">
            <v>varchar(20)</v>
          </cell>
          <cell r="E100">
            <v>0</v>
          </cell>
          <cell r="F100">
            <v>0</v>
          </cell>
          <cell r="G100">
            <v>1</v>
          </cell>
          <cell r="H100">
            <v>1</v>
          </cell>
          <cell r="I100" t="str">
            <v>vb3</v>
          </cell>
        </row>
        <row r="101">
          <cell r="B101" t="str">
            <v>维生素C</v>
          </cell>
          <cell r="C101" t="str">
            <v>vc</v>
          </cell>
          <cell r="D101" t="str">
            <v>varchar(20)</v>
          </cell>
          <cell r="E101">
            <v>0</v>
          </cell>
          <cell r="F101">
            <v>0</v>
          </cell>
          <cell r="G101">
            <v>1</v>
          </cell>
          <cell r="H101">
            <v>1</v>
          </cell>
          <cell r="I101" t="str">
            <v>vc</v>
          </cell>
        </row>
        <row r="102">
          <cell r="B102" t="str">
            <v>钙</v>
          </cell>
          <cell r="C102" t="str">
            <v>ca</v>
          </cell>
          <cell r="D102" t="str">
            <v>varchar(20)</v>
          </cell>
          <cell r="E102">
            <v>0</v>
          </cell>
          <cell r="F102">
            <v>0</v>
          </cell>
          <cell r="G102">
            <v>1</v>
          </cell>
          <cell r="H102">
            <v>1</v>
          </cell>
          <cell r="I102" t="str">
            <v>ca</v>
          </cell>
        </row>
        <row r="103">
          <cell r="B103" t="str">
            <v>磷</v>
          </cell>
          <cell r="C103" t="str">
            <v>p</v>
          </cell>
          <cell r="D103" t="str">
            <v>varchar(20)</v>
          </cell>
          <cell r="E103">
            <v>0</v>
          </cell>
          <cell r="F103">
            <v>0</v>
          </cell>
          <cell r="G103">
            <v>1</v>
          </cell>
          <cell r="H103">
            <v>1</v>
          </cell>
          <cell r="I103" t="str">
            <v>p</v>
          </cell>
        </row>
        <row r="104">
          <cell r="B104" t="str">
            <v>脂肪</v>
          </cell>
          <cell r="C104" t="str">
            <v>fat</v>
          </cell>
          <cell r="D104" t="str">
            <v>varchar(20)</v>
          </cell>
          <cell r="E104">
            <v>0</v>
          </cell>
          <cell r="F104">
            <v>0</v>
          </cell>
          <cell r="G104">
            <v>1</v>
          </cell>
          <cell r="H104">
            <v>1</v>
          </cell>
          <cell r="I104" t="str">
            <v>fat</v>
          </cell>
        </row>
        <row r="105">
          <cell r="B105" t="str">
            <v>碳水化合物</v>
          </cell>
          <cell r="C105" t="str">
            <v>ch</v>
          </cell>
          <cell r="D105" t="str">
            <v>varchar(20)</v>
          </cell>
          <cell r="E105">
            <v>0</v>
          </cell>
          <cell r="F105">
            <v>0</v>
          </cell>
          <cell r="G105">
            <v>1</v>
          </cell>
          <cell r="H105">
            <v>1</v>
          </cell>
          <cell r="I105" t="str">
            <v>ch</v>
          </cell>
        </row>
        <row r="106">
          <cell r="B106" t="str">
            <v>膳食纤维</v>
          </cell>
          <cell r="C106" t="str">
            <v>df</v>
          </cell>
          <cell r="D106" t="str">
            <v>varchar(20)</v>
          </cell>
          <cell r="E106">
            <v>0</v>
          </cell>
          <cell r="F106">
            <v>0</v>
          </cell>
          <cell r="G106">
            <v>1</v>
          </cell>
          <cell r="H106">
            <v>1</v>
          </cell>
          <cell r="I106" t="str">
            <v>df</v>
          </cell>
        </row>
        <row r="107">
          <cell r="B107" t="str">
            <v>维生素B1</v>
          </cell>
          <cell r="C107" t="str">
            <v>vb1</v>
          </cell>
          <cell r="D107" t="str">
            <v>varchar(20)</v>
          </cell>
          <cell r="E107">
            <v>0</v>
          </cell>
          <cell r="F107">
            <v>0</v>
          </cell>
          <cell r="G107">
            <v>1</v>
          </cell>
          <cell r="H107">
            <v>1</v>
          </cell>
          <cell r="I107" t="str">
            <v>vb1</v>
          </cell>
        </row>
        <row r="108">
          <cell r="B108" t="str">
            <v>维生素B2</v>
          </cell>
          <cell r="C108" t="str">
            <v>vb2</v>
          </cell>
          <cell r="D108" t="str">
            <v>varchar(20)</v>
          </cell>
          <cell r="E108">
            <v>0</v>
          </cell>
          <cell r="F108">
            <v>0</v>
          </cell>
          <cell r="G108">
            <v>1</v>
          </cell>
          <cell r="H108">
            <v>1</v>
          </cell>
          <cell r="I108" t="str">
            <v>vb2</v>
          </cell>
        </row>
        <row r="109">
          <cell r="B109" t="str">
            <v>维生素E</v>
          </cell>
          <cell r="C109" t="str">
            <v>ve</v>
          </cell>
          <cell r="D109" t="str">
            <v>varchar(20)</v>
          </cell>
          <cell r="E109">
            <v>0</v>
          </cell>
          <cell r="F109">
            <v>0</v>
          </cell>
          <cell r="G109">
            <v>1</v>
          </cell>
          <cell r="H109">
            <v>1</v>
          </cell>
          <cell r="I109" t="str">
            <v>ve</v>
          </cell>
        </row>
        <row r="110">
          <cell r="B110" t="str">
            <v>胡萝卜素</v>
          </cell>
          <cell r="C110" t="str">
            <v>caro</v>
          </cell>
          <cell r="D110" t="str">
            <v>varchar(20)</v>
          </cell>
          <cell r="E110">
            <v>0</v>
          </cell>
          <cell r="F110">
            <v>0</v>
          </cell>
          <cell r="G110">
            <v>1</v>
          </cell>
          <cell r="H110">
            <v>1</v>
          </cell>
          <cell r="I110" t="str">
            <v>caro</v>
          </cell>
        </row>
        <row r="111">
          <cell r="B111" t="str">
            <v>钾</v>
          </cell>
          <cell r="C111" t="str">
            <v>k</v>
          </cell>
          <cell r="D111" t="str">
            <v>varchar(20)</v>
          </cell>
          <cell r="E111">
            <v>0</v>
          </cell>
          <cell r="F111">
            <v>0</v>
          </cell>
          <cell r="G111">
            <v>1</v>
          </cell>
          <cell r="H111">
            <v>1</v>
          </cell>
          <cell r="I111" t="str">
            <v>k</v>
          </cell>
        </row>
        <row r="112">
          <cell r="B112" t="str">
            <v>钠</v>
          </cell>
          <cell r="C112" t="str">
            <v>na2</v>
          </cell>
          <cell r="D112" t="str">
            <v>varchar(20)</v>
          </cell>
          <cell r="E112">
            <v>0</v>
          </cell>
          <cell r="F112">
            <v>0</v>
          </cell>
          <cell r="G112">
            <v>1</v>
          </cell>
          <cell r="H112">
            <v>1</v>
          </cell>
          <cell r="I112" t="str">
            <v>na2</v>
          </cell>
        </row>
        <row r="113">
          <cell r="B113" t="str">
            <v>镁</v>
          </cell>
          <cell r="C113" t="str">
            <v>mg</v>
          </cell>
          <cell r="D113" t="str">
            <v>varchar(20)</v>
          </cell>
          <cell r="E113">
            <v>0</v>
          </cell>
          <cell r="F113">
            <v>0</v>
          </cell>
          <cell r="G113">
            <v>1</v>
          </cell>
          <cell r="H113">
            <v>1</v>
          </cell>
          <cell r="I113" t="str">
            <v>mg</v>
          </cell>
        </row>
        <row r="114">
          <cell r="B114" t="str">
            <v>铁</v>
          </cell>
          <cell r="C114" t="str">
            <v>fe</v>
          </cell>
          <cell r="D114" t="str">
            <v>varchar(20)</v>
          </cell>
          <cell r="E114">
            <v>0</v>
          </cell>
          <cell r="F114">
            <v>0</v>
          </cell>
          <cell r="G114">
            <v>1</v>
          </cell>
          <cell r="H114">
            <v>1</v>
          </cell>
          <cell r="I114" t="str">
            <v>fe</v>
          </cell>
        </row>
        <row r="115">
          <cell r="B115" t="str">
            <v>锌</v>
          </cell>
          <cell r="C115" t="str">
            <v>zn</v>
          </cell>
          <cell r="D115" t="str">
            <v>varchar(20)</v>
          </cell>
          <cell r="E115">
            <v>0</v>
          </cell>
          <cell r="F115">
            <v>0</v>
          </cell>
          <cell r="G115">
            <v>1</v>
          </cell>
          <cell r="H115">
            <v>1</v>
          </cell>
          <cell r="I115" t="str">
            <v>zn</v>
          </cell>
        </row>
        <row r="116">
          <cell r="B116" t="str">
            <v>硒</v>
          </cell>
          <cell r="C116" t="str">
            <v>se</v>
          </cell>
          <cell r="D116" t="str">
            <v>varchar(20)</v>
          </cell>
          <cell r="E116">
            <v>0</v>
          </cell>
          <cell r="F116">
            <v>0</v>
          </cell>
          <cell r="G116">
            <v>1</v>
          </cell>
          <cell r="H116">
            <v>1</v>
          </cell>
          <cell r="I116" t="str">
            <v>se</v>
          </cell>
        </row>
        <row r="117">
          <cell r="B117" t="str">
            <v>铜</v>
          </cell>
          <cell r="C117" t="str">
            <v>cu</v>
          </cell>
          <cell r="D117" t="str">
            <v>varchar(20)</v>
          </cell>
          <cell r="E117">
            <v>0</v>
          </cell>
          <cell r="F117">
            <v>0</v>
          </cell>
          <cell r="G117">
            <v>1</v>
          </cell>
          <cell r="H117">
            <v>1</v>
          </cell>
          <cell r="I117" t="str">
            <v>cu</v>
          </cell>
        </row>
        <row r="118">
          <cell r="B118" t="str">
            <v>锰</v>
          </cell>
          <cell r="C118" t="str">
            <v>mn</v>
          </cell>
          <cell r="D118" t="str">
            <v>varchar(20)</v>
          </cell>
          <cell r="E118">
            <v>0</v>
          </cell>
          <cell r="F118">
            <v>0</v>
          </cell>
          <cell r="G118">
            <v>1</v>
          </cell>
          <cell r="H118">
            <v>1</v>
          </cell>
          <cell r="I118" t="str">
            <v>mn</v>
          </cell>
        </row>
        <row r="119">
          <cell r="B119" t="str">
            <v>碘</v>
          </cell>
          <cell r="C119" t="str">
            <v>i</v>
          </cell>
          <cell r="D119" t="str">
            <v>varchar(20)</v>
          </cell>
          <cell r="E119">
            <v>0</v>
          </cell>
          <cell r="F119">
            <v>0</v>
          </cell>
          <cell r="G119">
            <v>1</v>
          </cell>
          <cell r="H119">
            <v>1</v>
          </cell>
          <cell r="I119" t="str">
            <v>i</v>
          </cell>
        </row>
        <row r="120">
          <cell r="B120" t="str">
            <v>特点</v>
          </cell>
          <cell r="C120" t="str">
            <v>trait</v>
          </cell>
          <cell r="D120" t="str">
            <v>varchar(20)</v>
          </cell>
          <cell r="E120">
            <v>0</v>
          </cell>
          <cell r="F120">
            <v>0</v>
          </cell>
          <cell r="G120">
            <v>1</v>
          </cell>
          <cell r="H120">
            <v>1</v>
          </cell>
          <cell r="I120" t="str">
            <v>trait</v>
          </cell>
        </row>
        <row r="121">
          <cell r="B121" t="str">
            <v>dataCount</v>
          </cell>
          <cell r="C121" t="str">
            <v>dataCount</v>
          </cell>
          <cell r="D121" t="str">
            <v>int</v>
          </cell>
          <cell r="E121">
            <v>0</v>
          </cell>
          <cell r="F121">
            <v>0</v>
          </cell>
          <cell r="G121">
            <v>1</v>
          </cell>
          <cell r="H121">
            <v>1</v>
          </cell>
          <cell r="I121" t="str">
            <v>dataCount</v>
          </cell>
        </row>
        <row r="122">
          <cell r="B122" t="str">
            <v>资讯数</v>
          </cell>
          <cell r="C122" t="str">
            <v>information_count</v>
          </cell>
          <cell r="D122" t="str">
            <v>int</v>
          </cell>
          <cell r="E122">
            <v>0</v>
          </cell>
          <cell r="F122">
            <v>0</v>
          </cell>
          <cell r="G122">
            <v>1</v>
          </cell>
          <cell r="H122">
            <v>1</v>
          </cell>
          <cell r="I122" t="str">
            <v>informationCount</v>
          </cell>
        </row>
        <row r="123">
          <cell r="B123" t="str">
            <v>课程数</v>
          </cell>
          <cell r="C123" t="str">
            <v>lesson_count</v>
          </cell>
          <cell r="D123" t="str">
            <v>int</v>
          </cell>
          <cell r="E123">
            <v>0</v>
          </cell>
          <cell r="F123">
            <v>0</v>
          </cell>
          <cell r="G123">
            <v>1</v>
          </cell>
          <cell r="H123">
            <v>1</v>
          </cell>
          <cell r="I123" t="str">
            <v>lessonCount</v>
          </cell>
        </row>
        <row r="124">
          <cell r="B124" t="str">
            <v>食谱日期</v>
          </cell>
          <cell r="C124" t="str">
            <v>recipe_date</v>
          </cell>
          <cell r="D124" t="str">
            <v>datetime</v>
          </cell>
          <cell r="E124">
            <v>0</v>
          </cell>
          <cell r="F124">
            <v>0</v>
          </cell>
          <cell r="G124">
            <v>1</v>
          </cell>
          <cell r="H124">
            <v>1</v>
          </cell>
          <cell r="I124" t="str">
            <v>recipeDate</v>
          </cell>
        </row>
        <row r="125">
          <cell r="B125" t="str">
            <v>浏览次数</v>
          </cell>
          <cell r="C125" t="str">
            <v>browse_count</v>
          </cell>
          <cell r="D125" t="str">
            <v>int</v>
          </cell>
          <cell r="E125">
            <v>0</v>
          </cell>
          <cell r="F125">
            <v>0</v>
          </cell>
          <cell r="G125">
            <v>1</v>
          </cell>
          <cell r="H125">
            <v>1</v>
          </cell>
          <cell r="I125" t="str">
            <v>browseCount</v>
          </cell>
        </row>
        <row r="126">
          <cell r="B126" t="str">
            <v>食材名称</v>
          </cell>
          <cell r="C126" t="str">
            <v>food_name</v>
          </cell>
          <cell r="D126" t="str">
            <v>varchar(50)</v>
          </cell>
          <cell r="E126">
            <v>0</v>
          </cell>
          <cell r="F126">
            <v>0</v>
          </cell>
          <cell r="G126">
            <v>1</v>
          </cell>
          <cell r="H126">
            <v>1</v>
          </cell>
          <cell r="I126" t="str">
            <v>foodName</v>
          </cell>
        </row>
        <row r="127">
          <cell r="B127" t="str">
            <v>食材真名</v>
          </cell>
          <cell r="C127" t="str">
            <v>true_name</v>
          </cell>
          <cell r="D127" t="str">
            <v>varchar(20)</v>
          </cell>
          <cell r="E127">
            <v>0</v>
          </cell>
          <cell r="F127">
            <v>0</v>
          </cell>
          <cell r="G127">
            <v>1</v>
          </cell>
          <cell r="H127">
            <v>1</v>
          </cell>
          <cell r="I127" t="str">
            <v>trueName</v>
          </cell>
        </row>
        <row r="128">
          <cell r="B128" t="str">
            <v>食材种属</v>
          </cell>
          <cell r="C128" t="str">
            <v>kind_name</v>
          </cell>
          <cell r="D128" t="str">
            <v>varchar(50)</v>
          </cell>
          <cell r="E128">
            <v>0</v>
          </cell>
          <cell r="F128">
            <v>0</v>
          </cell>
          <cell r="G128">
            <v>1</v>
          </cell>
          <cell r="H128">
            <v>1</v>
          </cell>
          <cell r="I128" t="str">
            <v>kindName</v>
          </cell>
        </row>
        <row r="129">
          <cell r="B129" t="str">
            <v>url</v>
          </cell>
          <cell r="C129" t="str">
            <v>url</v>
          </cell>
          <cell r="D129" t="str">
            <v>varchar(200)</v>
          </cell>
          <cell r="E129">
            <v>0</v>
          </cell>
          <cell r="F129">
            <v>0</v>
          </cell>
          <cell r="G129">
            <v>1</v>
          </cell>
          <cell r="H129">
            <v>1</v>
          </cell>
          <cell r="I129" t="str">
            <v>url</v>
          </cell>
        </row>
        <row r="130">
          <cell r="B130" t="str">
            <v>价格</v>
          </cell>
          <cell r="C130" t="str">
            <v>price</v>
          </cell>
          <cell r="D130" t="str">
            <v>varchar(50)</v>
          </cell>
          <cell r="E130">
            <v>0</v>
          </cell>
          <cell r="F130">
            <v>0</v>
          </cell>
          <cell r="G130">
            <v>1</v>
          </cell>
          <cell r="H130">
            <v>1</v>
          </cell>
          <cell r="I130" t="str">
            <v>price</v>
          </cell>
        </row>
        <row r="131">
          <cell r="B131" t="str">
            <v>重</v>
          </cell>
          <cell r="C131" t="str">
            <v>weigth</v>
          </cell>
          <cell r="D131" t="str">
            <v>varchar(50)</v>
          </cell>
          <cell r="E131">
            <v>0</v>
          </cell>
          <cell r="F131">
            <v>0</v>
          </cell>
          <cell r="G131">
            <v>1</v>
          </cell>
          <cell r="H131">
            <v>1</v>
          </cell>
          <cell r="I131" t="str">
            <v>weigth</v>
          </cell>
        </row>
        <row r="132">
          <cell r="B132" t="str">
            <v>水</v>
          </cell>
          <cell r="C132" t="str">
            <v>water</v>
          </cell>
          <cell r="D132" t="str">
            <v>varchar(50)</v>
          </cell>
          <cell r="E132">
            <v>0</v>
          </cell>
          <cell r="F132">
            <v>0</v>
          </cell>
          <cell r="G132">
            <v>1</v>
          </cell>
          <cell r="H132">
            <v>1</v>
          </cell>
          <cell r="I132" t="str">
            <v>water</v>
          </cell>
        </row>
        <row r="133">
          <cell r="B133" t="str">
            <v>入学日期</v>
          </cell>
          <cell r="C133" t="str">
            <v>entrance_date</v>
          </cell>
          <cell r="D133" t="str">
            <v>date</v>
          </cell>
          <cell r="E133">
            <v>0</v>
          </cell>
          <cell r="F133">
            <v>0</v>
          </cell>
          <cell r="G133">
            <v>1</v>
          </cell>
          <cell r="H133">
            <v>1</v>
          </cell>
          <cell r="I133" t="str">
            <v>entranceDate</v>
          </cell>
        </row>
        <row r="134">
          <cell r="B134" t="str">
            <v>记录描述</v>
          </cell>
          <cell r="C134" t="str">
            <v>record_describ</v>
          </cell>
          <cell r="D134" t="str">
            <v>char(2)</v>
          </cell>
          <cell r="E134">
            <v>0</v>
          </cell>
          <cell r="F134">
            <v>0</v>
          </cell>
          <cell r="G134">
            <v>1</v>
          </cell>
          <cell r="H134">
            <v>1</v>
          </cell>
          <cell r="I134" t="str">
            <v>recordDescrib</v>
          </cell>
        </row>
        <row r="135">
          <cell r="B135" t="str">
            <v>记录描述值</v>
          </cell>
          <cell r="C135" t="str">
            <v>record_describ_text</v>
          </cell>
          <cell r="D135" t="str">
            <v>varchar(50)</v>
          </cell>
          <cell r="E135">
            <v>0</v>
          </cell>
          <cell r="F135">
            <v>0</v>
          </cell>
          <cell r="G135">
            <v>1</v>
          </cell>
          <cell r="H135">
            <v>1</v>
          </cell>
          <cell r="I135" t="str">
            <v>recordDescribText</v>
          </cell>
        </row>
        <row r="136">
          <cell r="B136" t="str">
            <v>首页表示flag</v>
          </cell>
          <cell r="C136" t="str">
            <v>home_page_view_flg</v>
          </cell>
          <cell r="D136" t="str">
            <v>char(1)</v>
          </cell>
          <cell r="E136">
            <v>0</v>
          </cell>
          <cell r="F136">
            <v>0</v>
          </cell>
          <cell r="G136">
            <v>1</v>
          </cell>
          <cell r="H136">
            <v>1</v>
          </cell>
          <cell r="I136" t="str">
            <v>homePageViewFlg</v>
          </cell>
        </row>
        <row r="137">
          <cell r="B137" t="str">
            <v>首页表示flag值</v>
          </cell>
          <cell r="C137" t="str">
            <v>home_page_view_flg_value</v>
          </cell>
          <cell r="D137" t="str">
            <v>varchar(10)</v>
          </cell>
          <cell r="E137">
            <v>0</v>
          </cell>
          <cell r="F137">
            <v>0</v>
          </cell>
          <cell r="G137">
            <v>1</v>
          </cell>
          <cell r="H137">
            <v>1</v>
          </cell>
          <cell r="I137" t="str">
            <v>homePageViewFlgValue</v>
          </cell>
        </row>
        <row r="138">
          <cell r="B138" t="str">
            <v>内容id</v>
          </cell>
          <cell r="C138" t="str">
            <v>content_id</v>
          </cell>
          <cell r="D138" t="str">
            <v>bigint</v>
          </cell>
          <cell r="E138">
            <v>0</v>
          </cell>
          <cell r="F138">
            <v>0</v>
          </cell>
          <cell r="G138">
            <v>1</v>
          </cell>
          <cell r="H138">
            <v>1</v>
          </cell>
          <cell r="I138" t="str">
            <v>contentId</v>
          </cell>
        </row>
        <row r="139">
          <cell r="B139" t="str">
            <v>记录端</v>
          </cell>
          <cell r="C139" t="str">
            <v>record_terminal</v>
          </cell>
          <cell r="D139" t="str">
            <v>varchar(50)</v>
          </cell>
          <cell r="E139">
            <v>0</v>
          </cell>
          <cell r="F139">
            <v>0</v>
          </cell>
          <cell r="G139">
            <v>1</v>
          </cell>
          <cell r="H139">
            <v>1</v>
          </cell>
          <cell r="I139" t="str">
            <v>recordTerminal</v>
          </cell>
        </row>
        <row r="140">
          <cell r="B140" t="str">
            <v>缩略图url</v>
          </cell>
          <cell r="C140" t="str">
            <v>thumbnail_url</v>
          </cell>
          <cell r="D140" t="str">
            <v>varchar(200)</v>
          </cell>
          <cell r="E140">
            <v>0</v>
          </cell>
          <cell r="F140">
            <v>0</v>
          </cell>
          <cell r="G140">
            <v>1</v>
          </cell>
          <cell r="H140">
            <v>1</v>
          </cell>
          <cell r="I140" t="str">
            <v>thumbnailUrl</v>
          </cell>
        </row>
        <row r="141">
          <cell r="B141" t="str">
            <v>用户id</v>
          </cell>
          <cell r="C141" t="str">
            <v>user_id</v>
          </cell>
          <cell r="D141" t="str">
            <v>bigint</v>
          </cell>
          <cell r="E141">
            <v>0</v>
          </cell>
          <cell r="F141">
            <v>0</v>
          </cell>
          <cell r="G141">
            <v>1</v>
          </cell>
          <cell r="H141">
            <v>1</v>
          </cell>
          <cell r="I141" t="str">
            <v>userId</v>
          </cell>
        </row>
        <row r="142">
          <cell r="B142" t="str">
            <v>操作类型</v>
          </cell>
          <cell r="C142" t="str">
            <v>operation_type</v>
          </cell>
          <cell r="D142" t="str">
            <v>char(2)</v>
          </cell>
          <cell r="E142">
            <v>0</v>
          </cell>
          <cell r="F142">
            <v>0</v>
          </cell>
          <cell r="G142">
            <v>1</v>
          </cell>
          <cell r="H142">
            <v>1</v>
          </cell>
          <cell r="I142" t="str">
            <v>operationType</v>
          </cell>
        </row>
        <row r="143">
          <cell r="B143" t="str">
            <v>用户类型</v>
          </cell>
          <cell r="C143" t="str">
            <v>user_type</v>
          </cell>
          <cell r="D143" t="str">
            <v>char(2)</v>
          </cell>
          <cell r="E143">
            <v>0</v>
          </cell>
          <cell r="F143">
            <v>0</v>
          </cell>
          <cell r="G143">
            <v>1</v>
          </cell>
          <cell r="H143">
            <v>1</v>
          </cell>
          <cell r="I143" t="str">
            <v>userType</v>
          </cell>
        </row>
        <row r="144">
          <cell r="B144" t="str">
            <v>当前画面url</v>
          </cell>
          <cell r="C144" t="str">
            <v>current_page_url</v>
          </cell>
          <cell r="D144" t="str">
            <v>varchar(200)</v>
          </cell>
          <cell r="E144">
            <v>0</v>
          </cell>
          <cell r="F144">
            <v>0</v>
          </cell>
          <cell r="G144">
            <v>1</v>
          </cell>
          <cell r="H144">
            <v>1</v>
          </cell>
          <cell r="I144" t="str">
            <v>currentPageUrl</v>
          </cell>
        </row>
        <row r="145">
          <cell r="B145" t="str">
            <v>目标画面url</v>
          </cell>
          <cell r="C145" t="str">
            <v>target_page_url</v>
          </cell>
          <cell r="D145" t="str">
            <v>varchar(200)</v>
          </cell>
          <cell r="E145">
            <v>0</v>
          </cell>
          <cell r="F145">
            <v>0</v>
          </cell>
          <cell r="G145">
            <v>1</v>
          </cell>
          <cell r="H145">
            <v>1</v>
          </cell>
          <cell r="I145" t="str">
            <v>targetPageUrl</v>
          </cell>
        </row>
        <row r="146">
          <cell r="B146" t="str">
            <v>调用接口url</v>
          </cell>
          <cell r="C146" t="str">
            <v>call_interface_url</v>
          </cell>
          <cell r="D146" t="str">
            <v>varchar(200)</v>
          </cell>
          <cell r="E146">
            <v>0</v>
          </cell>
          <cell r="F146">
            <v>0</v>
          </cell>
          <cell r="G146">
            <v>1</v>
          </cell>
          <cell r="H146">
            <v>1</v>
          </cell>
          <cell r="I146" t="str">
            <v>callInterfaceUrl</v>
          </cell>
        </row>
        <row r="147">
          <cell r="B147" t="str">
            <v>参数内容</v>
          </cell>
          <cell r="C147" t="str">
            <v>parameter_content</v>
          </cell>
          <cell r="D147" t="str">
            <v>varchar(500)</v>
          </cell>
          <cell r="E147">
            <v>0</v>
          </cell>
          <cell r="F147">
            <v>0</v>
          </cell>
          <cell r="G147">
            <v>1</v>
          </cell>
          <cell r="H147">
            <v>1</v>
          </cell>
          <cell r="I147" t="str">
            <v>parameterContent</v>
          </cell>
        </row>
        <row r="148">
          <cell r="B148" t="str">
            <v>轮播画面</v>
          </cell>
          <cell r="C148" t="str">
            <v>carousel_page</v>
          </cell>
          <cell r="D148" t="str">
            <v>char(2)</v>
          </cell>
          <cell r="E148">
            <v>0</v>
          </cell>
          <cell r="F148">
            <v>0</v>
          </cell>
          <cell r="G148">
            <v>1</v>
          </cell>
          <cell r="H148">
            <v>1</v>
          </cell>
          <cell r="I148" t="str">
            <v>carouselPage</v>
          </cell>
        </row>
        <row r="149">
          <cell r="B149" t="str">
            <v>轮播画面值</v>
          </cell>
          <cell r="C149" t="str">
            <v>carousel_page_value</v>
          </cell>
          <cell r="D149" t="str">
            <v>varchar(50)</v>
          </cell>
          <cell r="E149">
            <v>0</v>
          </cell>
          <cell r="F149">
            <v>0</v>
          </cell>
          <cell r="G149">
            <v>1</v>
          </cell>
          <cell r="H149">
            <v>1</v>
          </cell>
          <cell r="I149" t="str">
            <v>carouselPageValue</v>
          </cell>
        </row>
        <row r="150">
          <cell r="B150" t="str">
            <v>左眼视力</v>
          </cell>
          <cell r="C150" t="str">
            <v>left_vision</v>
          </cell>
          <cell r="D150" t="str">
            <v>varchar(200)</v>
          </cell>
          <cell r="E150">
            <v>0</v>
          </cell>
          <cell r="F150">
            <v>0</v>
          </cell>
          <cell r="G150">
            <v>1</v>
          </cell>
          <cell r="H150">
            <v>1</v>
          </cell>
          <cell r="I150" t="str">
            <v>leftVision</v>
          </cell>
        </row>
        <row r="151">
          <cell r="B151" t="str">
            <v>右眼视力</v>
          </cell>
          <cell r="C151" t="str">
            <v>right_vision</v>
          </cell>
          <cell r="D151" t="str">
            <v>varchar(200)</v>
          </cell>
          <cell r="E151">
            <v>0</v>
          </cell>
          <cell r="F151">
            <v>0</v>
          </cell>
          <cell r="G151">
            <v>1</v>
          </cell>
          <cell r="H151">
            <v>1</v>
          </cell>
          <cell r="I151" t="str">
            <v>rightVision</v>
          </cell>
        </row>
        <row r="152">
          <cell r="B152" t="str">
            <v>发布者</v>
          </cell>
          <cell r="C152" t="str">
            <v>publisher</v>
          </cell>
          <cell r="D152" t="str">
            <v>varchar(50)</v>
          </cell>
          <cell r="E152">
            <v>0</v>
          </cell>
          <cell r="F152">
            <v>0</v>
          </cell>
          <cell r="G152">
            <v>1</v>
          </cell>
          <cell r="H152">
            <v>1</v>
          </cell>
          <cell r="I152" t="str">
            <v>publisher</v>
          </cell>
        </row>
        <row r="153">
          <cell r="B153" t="str">
            <v>发布者值</v>
          </cell>
          <cell r="C153" t="str">
            <v>publisher_value</v>
          </cell>
          <cell r="D153" t="str">
            <v>varchar(50)</v>
          </cell>
          <cell r="E153">
            <v>0</v>
          </cell>
          <cell r="F153">
            <v>0</v>
          </cell>
          <cell r="G153">
            <v>1</v>
          </cell>
          <cell r="H153">
            <v>1</v>
          </cell>
          <cell r="I153" t="str">
            <v>publisherValue</v>
          </cell>
        </row>
        <row r="154">
          <cell r="B154" t="str">
            <v>最后阅读id</v>
          </cell>
          <cell r="C154" t="str">
            <v>last_view_id</v>
          </cell>
          <cell r="D154" t="str">
            <v>bigint</v>
          </cell>
          <cell r="E154">
            <v>0</v>
          </cell>
          <cell r="F154">
            <v>0</v>
          </cell>
          <cell r="G154">
            <v>1</v>
          </cell>
          <cell r="H154">
            <v>1</v>
          </cell>
          <cell r="I154" t="str">
            <v>lastViewId</v>
          </cell>
        </row>
        <row r="155">
          <cell r="B155" t="str">
            <v>预约类型</v>
          </cell>
          <cell r="C155" t="str">
            <v>reservation_type</v>
          </cell>
          <cell r="D155" t="str">
            <v>char(2)</v>
          </cell>
          <cell r="E155">
            <v>0</v>
          </cell>
          <cell r="F155">
            <v>0</v>
          </cell>
          <cell r="G155">
            <v>1</v>
          </cell>
          <cell r="H155">
            <v>1</v>
          </cell>
          <cell r="I155" t="str">
            <v>reservationType</v>
          </cell>
        </row>
        <row r="156">
          <cell r="B156" t="str">
            <v>报告号</v>
          </cell>
          <cell r="C156" t="str">
            <v>report_number</v>
          </cell>
          <cell r="D156" t="str">
            <v>varchar(50)</v>
          </cell>
          <cell r="E156">
            <v>0</v>
          </cell>
          <cell r="F156">
            <v>0</v>
          </cell>
          <cell r="G156">
            <v>1</v>
          </cell>
          <cell r="H156">
            <v>1</v>
          </cell>
          <cell r="I156" t="str">
            <v>reportNumber</v>
          </cell>
        </row>
        <row r="157">
          <cell r="B157" t="str">
            <v>预约时间</v>
          </cell>
          <cell r="C157" t="str">
            <v>reservation_date</v>
          </cell>
          <cell r="D157" t="str">
            <v>datetime</v>
          </cell>
          <cell r="E157">
            <v>0</v>
          </cell>
          <cell r="F157">
            <v>0</v>
          </cell>
          <cell r="G157">
            <v>1</v>
          </cell>
          <cell r="H157">
            <v>1</v>
          </cell>
          <cell r="I157" t="str">
            <v>reservationDate</v>
          </cell>
        </row>
        <row r="158">
          <cell r="B158" t="str">
            <v>年龄</v>
          </cell>
          <cell r="C158" t="str">
            <v>age</v>
          </cell>
          <cell r="D158" t="str">
            <v>decimal(5,2)</v>
          </cell>
          <cell r="E158">
            <v>0</v>
          </cell>
          <cell r="F158">
            <v>0</v>
          </cell>
          <cell r="G158">
            <v>1</v>
          </cell>
          <cell r="H158">
            <v>1</v>
          </cell>
          <cell r="I158" t="str">
            <v>age</v>
          </cell>
        </row>
        <row r="159">
          <cell r="B159" t="str">
            <v>用户编号</v>
          </cell>
          <cell r="C159" t="str">
            <v>user_no</v>
          </cell>
          <cell r="D159" t="str">
            <v>varchar(50)</v>
          </cell>
          <cell r="E159">
            <v>0</v>
          </cell>
          <cell r="F159">
            <v>0</v>
          </cell>
          <cell r="G159">
            <v>1</v>
          </cell>
          <cell r="H159">
            <v>1</v>
          </cell>
          <cell r="I159" t="str">
            <v>userNo</v>
          </cell>
        </row>
        <row r="160">
          <cell r="B160" t="str">
            <v>回复状态</v>
          </cell>
          <cell r="C160" t="str">
            <v>respond_satatus</v>
          </cell>
          <cell r="D160" t="str">
            <v>char(1)</v>
          </cell>
          <cell r="E160">
            <v>0</v>
          </cell>
          <cell r="F160">
            <v>0</v>
          </cell>
          <cell r="G160">
            <v>1</v>
          </cell>
          <cell r="H160">
            <v>1</v>
          </cell>
          <cell r="I160" t="str">
            <v>respondSatatus</v>
          </cell>
        </row>
        <row r="161">
          <cell r="B161" t="str">
            <v>验证码</v>
          </cell>
          <cell r="C161" t="str">
            <v>identifying_code</v>
          </cell>
          <cell r="D161" t="str">
            <v>varchar(50)</v>
          </cell>
          <cell r="E161">
            <v>0</v>
          </cell>
          <cell r="F161">
            <v>0</v>
          </cell>
          <cell r="G161">
            <v>1</v>
          </cell>
          <cell r="H161">
            <v>1</v>
          </cell>
          <cell r="I161" t="str">
            <v>identifyingCode</v>
          </cell>
        </row>
        <row r="162">
          <cell r="B162" t="str">
            <v>文件</v>
          </cell>
          <cell r="C162" t="str">
            <v>file</v>
          </cell>
          <cell r="D162" t="str">
            <v>varchar(50)</v>
          </cell>
          <cell r="E162">
            <v>0</v>
          </cell>
          <cell r="F162">
            <v>0</v>
          </cell>
          <cell r="G162">
            <v>1</v>
          </cell>
          <cell r="H162">
            <v>1</v>
          </cell>
          <cell r="I162" t="str">
            <v>file</v>
          </cell>
        </row>
        <row r="163">
          <cell r="B163" t="str">
            <v>用户登录名</v>
          </cell>
          <cell r="C163" t="str">
            <v>login_Name</v>
          </cell>
          <cell r="D163" t="str">
            <v>varchar(50)</v>
          </cell>
          <cell r="E163">
            <v>0</v>
          </cell>
          <cell r="F163">
            <v>0</v>
          </cell>
          <cell r="G163">
            <v>1</v>
          </cell>
          <cell r="H163">
            <v>1</v>
          </cell>
          <cell r="I163" t="str">
            <v>loginName</v>
          </cell>
        </row>
        <row r="164">
          <cell r="B164" t="str">
            <v>上传时间</v>
          </cell>
          <cell r="C164" t="str">
            <v>timeStamp</v>
          </cell>
          <cell r="D164">
            <v>0</v>
          </cell>
          <cell r="E164">
            <v>0</v>
          </cell>
          <cell r="F164">
            <v>0</v>
          </cell>
          <cell r="G164">
            <v>1</v>
          </cell>
          <cell r="H164">
            <v>1</v>
          </cell>
          <cell r="I164" t="str">
            <v>timeStamp</v>
          </cell>
        </row>
        <row r="165">
          <cell r="B165" t="str">
            <v>token</v>
          </cell>
          <cell r="C165" t="str">
            <v>token</v>
          </cell>
          <cell r="D165">
            <v>0</v>
          </cell>
          <cell r="E165">
            <v>0</v>
          </cell>
          <cell r="F165">
            <v>0</v>
          </cell>
          <cell r="G165">
            <v>1</v>
          </cell>
          <cell r="H165">
            <v>1</v>
          </cell>
          <cell r="I165" t="str">
            <v>token</v>
          </cell>
        </row>
        <row r="166">
          <cell r="B166" t="str">
            <v>疫苗分类</v>
          </cell>
          <cell r="C166" t="str">
            <v>vaccine_classify</v>
          </cell>
          <cell r="D166" t="str">
            <v>varchar(50)</v>
          </cell>
          <cell r="E166">
            <v>0</v>
          </cell>
          <cell r="F166">
            <v>0</v>
          </cell>
          <cell r="G166">
            <v>1</v>
          </cell>
          <cell r="H166">
            <v>1</v>
          </cell>
          <cell r="I166" t="str">
            <v>vaccineClassify</v>
          </cell>
        </row>
        <row r="167">
          <cell r="B167" t="str">
            <v>是否接种flg学校</v>
          </cell>
          <cell r="C167" t="str">
            <v>vaccination_flg_school</v>
          </cell>
          <cell r="D167" t="str">
            <v>char(2)</v>
          </cell>
          <cell r="E167">
            <v>0</v>
          </cell>
          <cell r="F167">
            <v>0</v>
          </cell>
          <cell r="G167">
            <v>1</v>
          </cell>
          <cell r="H167">
            <v>1</v>
          </cell>
          <cell r="I167" t="str">
            <v>vaccinationFlgSchool</v>
          </cell>
        </row>
        <row r="168">
          <cell r="B168" t="str">
            <v>是否接种flg家长</v>
          </cell>
          <cell r="C168" t="str">
            <v>vaccination_flg_parent</v>
          </cell>
          <cell r="D168" t="str">
            <v>char(2)</v>
          </cell>
          <cell r="E168">
            <v>0</v>
          </cell>
          <cell r="F168">
            <v>0</v>
          </cell>
          <cell r="G168">
            <v>1</v>
          </cell>
          <cell r="H168">
            <v>1</v>
          </cell>
          <cell r="I168" t="str">
            <v>vaccinationFlgParent</v>
          </cell>
        </row>
        <row r="169">
          <cell r="B169" t="str">
            <v>开始时间</v>
          </cell>
          <cell r="C169" t="str">
            <v>start_time</v>
          </cell>
          <cell r="D169" t="str">
            <v>datetime</v>
          </cell>
          <cell r="E169">
            <v>0</v>
          </cell>
          <cell r="F169">
            <v>0</v>
          </cell>
          <cell r="G169">
            <v>1</v>
          </cell>
          <cell r="H169">
            <v>1</v>
          </cell>
          <cell r="I169" t="str">
            <v>startTime</v>
          </cell>
        </row>
        <row r="170">
          <cell r="B170" t="str">
            <v>终止时间</v>
          </cell>
          <cell r="C170" t="str">
            <v>end_time</v>
          </cell>
          <cell r="D170" t="str">
            <v>datetime</v>
          </cell>
          <cell r="E170">
            <v>0</v>
          </cell>
          <cell r="F170">
            <v>0</v>
          </cell>
          <cell r="G170">
            <v>1</v>
          </cell>
          <cell r="H170">
            <v>1</v>
          </cell>
          <cell r="I170" t="str">
            <v>endTime</v>
          </cell>
        </row>
        <row r="171">
          <cell r="B171" t="str">
            <v>密码</v>
          </cell>
          <cell r="C171" t="str">
            <v>password</v>
          </cell>
          <cell r="D171" t="str">
            <v>varchar(50)</v>
          </cell>
          <cell r="E171">
            <v>0</v>
          </cell>
          <cell r="F171">
            <v>0</v>
          </cell>
          <cell r="G171">
            <v>1</v>
          </cell>
          <cell r="H171">
            <v>1</v>
          </cell>
          <cell r="I171" t="str">
            <v>password</v>
          </cell>
        </row>
        <row r="172">
          <cell r="B172" t="str">
            <v>地址</v>
          </cell>
          <cell r="C172" t="str">
            <v>address</v>
          </cell>
          <cell r="D172" t="str">
            <v>varchar(200)</v>
          </cell>
          <cell r="E172">
            <v>0</v>
          </cell>
          <cell r="F172">
            <v>0</v>
          </cell>
          <cell r="G172">
            <v>1</v>
          </cell>
          <cell r="H172">
            <v>1</v>
          </cell>
          <cell r="I172" t="str">
            <v>address</v>
          </cell>
        </row>
        <row r="173">
          <cell r="B173" t="str">
            <v>入园时间</v>
          </cell>
          <cell r="C173" t="str">
            <v>in_school_date</v>
          </cell>
          <cell r="D173" t="str">
            <v>datetime</v>
          </cell>
          <cell r="E173">
            <v>0</v>
          </cell>
          <cell r="F173">
            <v>0</v>
          </cell>
          <cell r="G173">
            <v>1</v>
          </cell>
          <cell r="H173">
            <v>1</v>
          </cell>
          <cell r="I173" t="str">
            <v>inSchoolDate</v>
          </cell>
        </row>
        <row r="174">
          <cell r="B174" t="str">
            <v>弋康用户名称</v>
          </cell>
          <cell r="C174" t="str">
            <v>yk_user_name</v>
          </cell>
          <cell r="D174" t="str">
            <v>varchar(50)</v>
          </cell>
          <cell r="E174">
            <v>0</v>
          </cell>
          <cell r="F174">
            <v>0</v>
          </cell>
          <cell r="G174">
            <v>1</v>
          </cell>
          <cell r="H174">
            <v>1</v>
          </cell>
          <cell r="I174" t="str">
            <v>ykUserName</v>
          </cell>
        </row>
        <row r="175">
          <cell r="B175" t="str">
            <v>发布教师编号</v>
          </cell>
          <cell r="C175" t="str">
            <v>publish_teacher_No</v>
          </cell>
          <cell r="D175" t="str">
            <v>varchar(20)</v>
          </cell>
          <cell r="E175">
            <v>0</v>
          </cell>
          <cell r="F175">
            <v>0</v>
          </cell>
          <cell r="G175">
            <v>1</v>
          </cell>
          <cell r="H175">
            <v>1</v>
          </cell>
          <cell r="I175" t="str">
            <v>publishTeacherNo</v>
          </cell>
        </row>
        <row r="176">
          <cell r="B176" t="str">
            <v>校园资讯id</v>
          </cell>
          <cell r="C176" t="str">
            <v>campus_information_id</v>
          </cell>
          <cell r="D176" t="str">
            <v>bigint</v>
          </cell>
          <cell r="E176">
            <v>0</v>
          </cell>
          <cell r="F176">
            <v>0</v>
          </cell>
          <cell r="G176">
            <v>1</v>
          </cell>
          <cell r="H176">
            <v>1</v>
          </cell>
          <cell r="I176" t="str">
            <v>campusInformationId</v>
          </cell>
        </row>
        <row r="177">
          <cell r="B177" t="str">
            <v>查看对象Flg</v>
          </cell>
          <cell r="C177" t="str">
            <v>select_flg</v>
          </cell>
          <cell r="D177" t="str">
            <v>char(2)</v>
          </cell>
          <cell r="E177">
            <v>0</v>
          </cell>
          <cell r="F177">
            <v>0</v>
          </cell>
          <cell r="G177">
            <v>1</v>
          </cell>
          <cell r="H177">
            <v>1</v>
          </cell>
          <cell r="I177" t="str">
            <v>selectFlg</v>
          </cell>
        </row>
        <row r="178">
          <cell r="B178" t="str">
            <v>出勤日期</v>
          </cell>
          <cell r="C178" t="str">
            <v>attendan_date</v>
          </cell>
          <cell r="D178" t="str">
            <v>datetime</v>
          </cell>
          <cell r="E178">
            <v>0</v>
          </cell>
          <cell r="F178">
            <v>0</v>
          </cell>
          <cell r="G178">
            <v>1</v>
          </cell>
          <cell r="H178">
            <v>1</v>
          </cell>
          <cell r="I178" t="str">
            <v>attendanDate</v>
          </cell>
        </row>
        <row r="179">
          <cell r="B179" t="str">
            <v>出勤状态</v>
          </cell>
          <cell r="C179" t="str">
            <v>attendance_type</v>
          </cell>
          <cell r="D179" t="str">
            <v>char(2)</v>
          </cell>
          <cell r="E179">
            <v>0</v>
          </cell>
          <cell r="F179">
            <v>0</v>
          </cell>
          <cell r="G179">
            <v>1</v>
          </cell>
          <cell r="H179">
            <v>1</v>
          </cell>
          <cell r="I179" t="str">
            <v>attendanceType</v>
          </cell>
        </row>
        <row r="180">
          <cell r="B180" t="str">
            <v>出勤状态值</v>
          </cell>
          <cell r="C180" t="str">
            <v>attendance_value</v>
          </cell>
          <cell r="D180" t="str">
            <v>varchar(20)</v>
          </cell>
          <cell r="E180">
            <v>0</v>
          </cell>
          <cell r="F180">
            <v>0</v>
          </cell>
          <cell r="G180">
            <v>1</v>
          </cell>
          <cell r="H180">
            <v>1</v>
          </cell>
          <cell r="I180" t="str">
            <v>attendanceValue</v>
          </cell>
        </row>
        <row r="181">
          <cell r="B181" t="str">
            <v>是否有新信息Flg</v>
          </cell>
          <cell r="C181" t="str">
            <v>new_flg</v>
          </cell>
          <cell r="D181" t="str">
            <v>char(2)</v>
          </cell>
          <cell r="E181">
            <v>0</v>
          </cell>
          <cell r="F181">
            <v>0</v>
          </cell>
          <cell r="G181">
            <v>1</v>
          </cell>
          <cell r="H181">
            <v>1</v>
          </cell>
          <cell r="I181" t="str">
            <v>newFlg</v>
          </cell>
        </row>
        <row r="182">
          <cell r="B182" t="str">
            <v>班级数量</v>
          </cell>
          <cell r="C182" t="str">
            <v>class_number</v>
          </cell>
          <cell r="D182" t="str">
            <v>decimal(20)</v>
          </cell>
          <cell r="E182">
            <v>0</v>
          </cell>
          <cell r="F182">
            <v>0</v>
          </cell>
          <cell r="G182">
            <v>1</v>
          </cell>
          <cell r="H182">
            <v>1</v>
          </cell>
          <cell r="I182" t="str">
            <v>classNumber</v>
          </cell>
        </row>
        <row r="183">
          <cell r="B183" t="str">
            <v>班级名称</v>
          </cell>
          <cell r="C183" t="str">
            <v>class_name</v>
          </cell>
          <cell r="D183" t="str">
            <v>varchar(50)</v>
          </cell>
          <cell r="E183">
            <v>0</v>
          </cell>
          <cell r="F183">
            <v>0</v>
          </cell>
          <cell r="G183">
            <v>1</v>
          </cell>
          <cell r="H183">
            <v>1</v>
          </cell>
          <cell r="I183" t="str">
            <v>className</v>
          </cell>
        </row>
        <row r="184">
          <cell r="B184" t="str">
            <v>学生数量</v>
          </cell>
          <cell r="C184" t="str">
            <v>student_number</v>
          </cell>
          <cell r="D184" t="str">
            <v>decimal(20)</v>
          </cell>
          <cell r="E184">
            <v>0</v>
          </cell>
          <cell r="F184">
            <v>0</v>
          </cell>
          <cell r="G184">
            <v>1</v>
          </cell>
          <cell r="H184">
            <v>1</v>
          </cell>
          <cell r="I184" t="str">
            <v>studentNumber</v>
          </cell>
        </row>
        <row r="185">
          <cell r="B185" t="str">
            <v>教师数量</v>
          </cell>
          <cell r="C185" t="str">
            <v>teacher_number</v>
          </cell>
          <cell r="D185" t="str">
            <v>decimal(20)</v>
          </cell>
          <cell r="E185">
            <v>0</v>
          </cell>
          <cell r="F185">
            <v>0</v>
          </cell>
          <cell r="G185">
            <v>1</v>
          </cell>
          <cell r="H185">
            <v>1</v>
          </cell>
          <cell r="I185" t="str">
            <v>teacherNumber</v>
          </cell>
        </row>
        <row r="186">
          <cell r="B186" t="str">
            <v>学生名称</v>
          </cell>
          <cell r="C186" t="str">
            <v>student_name</v>
          </cell>
          <cell r="D186" t="str">
            <v>varchar(20)</v>
          </cell>
          <cell r="E186">
            <v>0</v>
          </cell>
          <cell r="F186">
            <v>0</v>
          </cell>
          <cell r="G186">
            <v>1</v>
          </cell>
          <cell r="H186">
            <v>1</v>
          </cell>
          <cell r="I186" t="str">
            <v>studentName</v>
          </cell>
        </row>
        <row r="187">
          <cell r="B187" t="str">
            <v>体温</v>
          </cell>
          <cell r="C187" t="str">
            <v>temperature</v>
          </cell>
          <cell r="D187" t="str">
            <v>decimal(20.2)</v>
          </cell>
          <cell r="E187">
            <v>0</v>
          </cell>
          <cell r="F187">
            <v>0</v>
          </cell>
          <cell r="G187">
            <v>1</v>
          </cell>
          <cell r="H187">
            <v>1</v>
          </cell>
          <cell r="I187" t="str">
            <v>temperature</v>
          </cell>
        </row>
        <row r="188">
          <cell r="B188" t="str">
            <v>最高体温</v>
          </cell>
          <cell r="C188" t="str">
            <v>high_temperature</v>
          </cell>
          <cell r="D188" t="str">
            <v>decimal(20.2)</v>
          </cell>
          <cell r="E188">
            <v>0</v>
          </cell>
          <cell r="F188">
            <v>0</v>
          </cell>
          <cell r="G188">
            <v>1</v>
          </cell>
          <cell r="H188">
            <v>1</v>
          </cell>
          <cell r="I188" t="str">
            <v>highTemperature</v>
          </cell>
        </row>
        <row r="189">
          <cell r="B189" t="str">
            <v>最低体温</v>
          </cell>
          <cell r="C189" t="str">
            <v>low_temperature</v>
          </cell>
          <cell r="D189" t="str">
            <v>decimal(20.2)</v>
          </cell>
          <cell r="E189">
            <v>0</v>
          </cell>
          <cell r="F189">
            <v>0</v>
          </cell>
          <cell r="G189">
            <v>1</v>
          </cell>
          <cell r="H189">
            <v>1</v>
          </cell>
          <cell r="I189" t="str">
            <v>lowTemperature</v>
          </cell>
        </row>
        <row r="190">
          <cell r="B190" t="str">
            <v>体温是否处理Flg</v>
          </cell>
          <cell r="C190" t="str">
            <v>temperature_flg</v>
          </cell>
          <cell r="D190" t="str">
            <v>char(1)</v>
          </cell>
          <cell r="E190">
            <v>0</v>
          </cell>
          <cell r="F190">
            <v>0</v>
          </cell>
          <cell r="G190">
            <v>1</v>
          </cell>
          <cell r="H190">
            <v>1</v>
          </cell>
          <cell r="I190" t="str">
            <v>temperatureFlg</v>
          </cell>
        </row>
        <row r="191">
          <cell r="B191" t="str">
            <v>家长电话号码</v>
          </cell>
          <cell r="C191" t="str">
            <v>parents_No</v>
          </cell>
          <cell r="D191" t="str">
            <v>varchar(20)</v>
          </cell>
          <cell r="E191">
            <v>0</v>
          </cell>
          <cell r="F191">
            <v>0</v>
          </cell>
          <cell r="G191">
            <v>1</v>
          </cell>
          <cell r="H191">
            <v>2</v>
          </cell>
          <cell r="I191" t="str">
            <v>parentsNo</v>
          </cell>
        </row>
        <row r="192">
          <cell r="B192" t="str">
            <v>家长名称</v>
          </cell>
          <cell r="C192" t="str">
            <v>parents_name</v>
          </cell>
          <cell r="D192" t="str">
            <v>varchar(20)</v>
          </cell>
          <cell r="E192">
            <v>0</v>
          </cell>
          <cell r="F192">
            <v>0</v>
          </cell>
          <cell r="G192">
            <v>1</v>
          </cell>
          <cell r="H192">
            <v>1</v>
          </cell>
          <cell r="I192" t="str">
            <v>parentsName</v>
          </cell>
        </row>
        <row r="193">
          <cell r="B193" t="str">
            <v>心率次数</v>
          </cell>
          <cell r="C193" t="str">
            <v>heart_rate</v>
          </cell>
          <cell r="D193">
            <v>0</v>
          </cell>
          <cell r="E193">
            <v>0</v>
          </cell>
          <cell r="F193">
            <v>0</v>
          </cell>
          <cell r="G193">
            <v>1</v>
          </cell>
          <cell r="H193">
            <v>1</v>
          </cell>
          <cell r="I193" t="str">
            <v>heartRate</v>
          </cell>
        </row>
        <row r="194">
          <cell r="B194" t="str">
            <v>运动步数</v>
          </cell>
          <cell r="C194" t="str">
            <v>movement_steps</v>
          </cell>
          <cell r="D194">
            <v>0</v>
          </cell>
          <cell r="E194">
            <v>0</v>
          </cell>
          <cell r="F194">
            <v>0</v>
          </cell>
          <cell r="G194">
            <v>1</v>
          </cell>
          <cell r="H194">
            <v>1</v>
          </cell>
          <cell r="I194" t="str">
            <v>movementSteps</v>
          </cell>
        </row>
        <row r="195">
          <cell r="B195" t="str">
            <v>午睡时间</v>
          </cell>
          <cell r="C195" t="str">
            <v>nap_time</v>
          </cell>
          <cell r="D195">
            <v>0</v>
          </cell>
          <cell r="E195">
            <v>0</v>
          </cell>
          <cell r="F195">
            <v>0</v>
          </cell>
          <cell r="G195">
            <v>1</v>
          </cell>
          <cell r="H195">
            <v>1</v>
          </cell>
          <cell r="I195" t="str">
            <v>napTime</v>
          </cell>
        </row>
        <row r="196">
          <cell r="B196" t="str">
            <v>牙1状态</v>
          </cell>
          <cell r="C196" t="str">
            <v>tooth1_type</v>
          </cell>
          <cell r="D196" t="str">
            <v>char(2)</v>
          </cell>
          <cell r="E196">
            <v>0</v>
          </cell>
          <cell r="F196">
            <v>0</v>
          </cell>
          <cell r="G196">
            <v>1</v>
          </cell>
          <cell r="H196">
            <v>1</v>
          </cell>
          <cell r="I196" t="str">
            <v>tooth1Type</v>
          </cell>
        </row>
        <row r="197">
          <cell r="B197" t="str">
            <v>牙2状态</v>
          </cell>
          <cell r="C197" t="str">
            <v>tooth2_type</v>
          </cell>
          <cell r="D197" t="str">
            <v>char(2)</v>
          </cell>
          <cell r="E197">
            <v>0</v>
          </cell>
          <cell r="F197">
            <v>0</v>
          </cell>
          <cell r="G197">
            <v>1</v>
          </cell>
          <cell r="H197">
            <v>1</v>
          </cell>
          <cell r="I197" t="str">
            <v>tooth2Type</v>
          </cell>
        </row>
        <row r="198">
          <cell r="B198" t="str">
            <v>牙3状态</v>
          </cell>
          <cell r="C198" t="str">
            <v>tooth3_type</v>
          </cell>
          <cell r="D198" t="str">
            <v>char(2)</v>
          </cell>
          <cell r="E198">
            <v>0</v>
          </cell>
          <cell r="F198">
            <v>0</v>
          </cell>
          <cell r="G198">
            <v>1</v>
          </cell>
          <cell r="H198">
            <v>1</v>
          </cell>
          <cell r="I198" t="str">
            <v>tooth3Type</v>
          </cell>
        </row>
        <row r="199">
          <cell r="B199" t="str">
            <v>牙4状态</v>
          </cell>
          <cell r="C199" t="str">
            <v>tooth4_type</v>
          </cell>
          <cell r="D199" t="str">
            <v>char(2)</v>
          </cell>
          <cell r="E199">
            <v>0</v>
          </cell>
          <cell r="F199">
            <v>0</v>
          </cell>
          <cell r="G199">
            <v>1</v>
          </cell>
          <cell r="H199">
            <v>1</v>
          </cell>
          <cell r="I199" t="str">
            <v>tooth4Type</v>
          </cell>
        </row>
        <row r="200">
          <cell r="B200" t="str">
            <v>牙5状态</v>
          </cell>
          <cell r="C200" t="str">
            <v>tooth5_type</v>
          </cell>
          <cell r="D200" t="str">
            <v>char(2)</v>
          </cell>
          <cell r="E200">
            <v>0</v>
          </cell>
          <cell r="F200">
            <v>0</v>
          </cell>
          <cell r="G200">
            <v>1</v>
          </cell>
          <cell r="H200">
            <v>1</v>
          </cell>
          <cell r="I200" t="str">
            <v>tooth5Type</v>
          </cell>
        </row>
        <row r="201">
          <cell r="B201" t="str">
            <v>牙6状态</v>
          </cell>
          <cell r="C201" t="str">
            <v>tooth6_type</v>
          </cell>
          <cell r="D201" t="str">
            <v>char(2)</v>
          </cell>
          <cell r="E201">
            <v>0</v>
          </cell>
          <cell r="F201">
            <v>0</v>
          </cell>
          <cell r="G201">
            <v>1</v>
          </cell>
          <cell r="H201">
            <v>1</v>
          </cell>
          <cell r="I201" t="str">
            <v>tooth6Type</v>
          </cell>
        </row>
        <row r="202">
          <cell r="B202" t="str">
            <v>牙7状态</v>
          </cell>
          <cell r="C202" t="str">
            <v>tooth7_type</v>
          </cell>
          <cell r="D202" t="str">
            <v>char(2)</v>
          </cell>
          <cell r="E202">
            <v>0</v>
          </cell>
          <cell r="F202">
            <v>0</v>
          </cell>
          <cell r="G202">
            <v>1</v>
          </cell>
          <cell r="H202">
            <v>1</v>
          </cell>
          <cell r="I202" t="str">
            <v>tooth7Type</v>
          </cell>
        </row>
        <row r="203">
          <cell r="B203" t="str">
            <v>牙8状态</v>
          </cell>
          <cell r="C203" t="str">
            <v>tooth8_type</v>
          </cell>
          <cell r="D203" t="str">
            <v>char(2)</v>
          </cell>
          <cell r="E203">
            <v>0</v>
          </cell>
          <cell r="F203">
            <v>0</v>
          </cell>
          <cell r="G203">
            <v>1</v>
          </cell>
          <cell r="H203">
            <v>1</v>
          </cell>
          <cell r="I203" t="str">
            <v>tooth8Type</v>
          </cell>
        </row>
        <row r="204">
          <cell r="B204" t="str">
            <v>牙9状态</v>
          </cell>
          <cell r="C204" t="str">
            <v>tooth9_type</v>
          </cell>
          <cell r="D204" t="str">
            <v>char(2)</v>
          </cell>
          <cell r="E204">
            <v>0</v>
          </cell>
          <cell r="F204">
            <v>0</v>
          </cell>
          <cell r="G204">
            <v>1</v>
          </cell>
          <cell r="H204">
            <v>1</v>
          </cell>
          <cell r="I204" t="str">
            <v>tooth9Type</v>
          </cell>
        </row>
        <row r="205">
          <cell r="B205" t="str">
            <v>牙10状态</v>
          </cell>
          <cell r="C205" t="str">
            <v>tooth10_type</v>
          </cell>
          <cell r="D205" t="str">
            <v>char(2)</v>
          </cell>
          <cell r="E205">
            <v>0</v>
          </cell>
          <cell r="F205">
            <v>0</v>
          </cell>
          <cell r="G205">
            <v>1</v>
          </cell>
          <cell r="H205">
            <v>1</v>
          </cell>
          <cell r="I205" t="str">
            <v>tooth10Type</v>
          </cell>
        </row>
        <row r="206">
          <cell r="B206" t="str">
            <v>牙11状态</v>
          </cell>
          <cell r="C206" t="str">
            <v>tooth11_type</v>
          </cell>
          <cell r="D206" t="str">
            <v>char(2)</v>
          </cell>
          <cell r="E206">
            <v>0</v>
          </cell>
          <cell r="F206">
            <v>0</v>
          </cell>
          <cell r="G206">
            <v>1</v>
          </cell>
          <cell r="H206">
            <v>1</v>
          </cell>
          <cell r="I206" t="str">
            <v>tooth11Type</v>
          </cell>
        </row>
        <row r="207">
          <cell r="B207" t="str">
            <v>牙12状态</v>
          </cell>
          <cell r="C207" t="str">
            <v>tooth12_type</v>
          </cell>
          <cell r="D207" t="str">
            <v>char(2)</v>
          </cell>
          <cell r="E207">
            <v>0</v>
          </cell>
          <cell r="F207">
            <v>0</v>
          </cell>
          <cell r="G207">
            <v>1</v>
          </cell>
          <cell r="H207">
            <v>1</v>
          </cell>
          <cell r="I207" t="str">
            <v>tooth12Type</v>
          </cell>
        </row>
        <row r="208">
          <cell r="B208" t="str">
            <v>牙13状态</v>
          </cell>
          <cell r="C208" t="str">
            <v>tooth13_type</v>
          </cell>
          <cell r="D208" t="str">
            <v>char(2)</v>
          </cell>
          <cell r="E208">
            <v>0</v>
          </cell>
          <cell r="F208">
            <v>0</v>
          </cell>
          <cell r="G208">
            <v>1</v>
          </cell>
          <cell r="H208">
            <v>1</v>
          </cell>
          <cell r="I208" t="str">
            <v>tooth13Type</v>
          </cell>
        </row>
        <row r="209">
          <cell r="B209" t="str">
            <v>牙14状态</v>
          </cell>
          <cell r="C209" t="str">
            <v>tooth14_type</v>
          </cell>
          <cell r="D209" t="str">
            <v>char(2)</v>
          </cell>
          <cell r="E209">
            <v>0</v>
          </cell>
          <cell r="F209">
            <v>0</v>
          </cell>
          <cell r="G209">
            <v>1</v>
          </cell>
          <cell r="H209">
            <v>1</v>
          </cell>
          <cell r="I209" t="str">
            <v>tooth14Type</v>
          </cell>
        </row>
        <row r="210">
          <cell r="B210" t="str">
            <v>牙15状态</v>
          </cell>
          <cell r="C210" t="str">
            <v>tooth15_type</v>
          </cell>
          <cell r="D210" t="str">
            <v>char(2)</v>
          </cell>
          <cell r="E210">
            <v>0</v>
          </cell>
          <cell r="F210">
            <v>0</v>
          </cell>
          <cell r="G210">
            <v>1</v>
          </cell>
          <cell r="H210">
            <v>1</v>
          </cell>
          <cell r="I210" t="str">
            <v>tooth15Type</v>
          </cell>
        </row>
        <row r="211">
          <cell r="B211" t="str">
            <v>牙16状态</v>
          </cell>
          <cell r="C211" t="str">
            <v>tooth16_type</v>
          </cell>
          <cell r="D211" t="str">
            <v>char(2)</v>
          </cell>
          <cell r="E211">
            <v>0</v>
          </cell>
          <cell r="F211">
            <v>0</v>
          </cell>
          <cell r="G211">
            <v>1</v>
          </cell>
          <cell r="H211">
            <v>1</v>
          </cell>
          <cell r="I211" t="str">
            <v>tooth16Type</v>
          </cell>
        </row>
        <row r="212">
          <cell r="B212" t="str">
            <v>牙17状态</v>
          </cell>
          <cell r="C212" t="str">
            <v>tooth17_type</v>
          </cell>
          <cell r="D212" t="str">
            <v>char(2)</v>
          </cell>
          <cell r="E212">
            <v>0</v>
          </cell>
          <cell r="F212">
            <v>0</v>
          </cell>
          <cell r="G212">
            <v>1</v>
          </cell>
          <cell r="H212">
            <v>1</v>
          </cell>
          <cell r="I212" t="str">
            <v>tooth17Type</v>
          </cell>
        </row>
        <row r="213">
          <cell r="B213" t="str">
            <v>牙18状态</v>
          </cell>
          <cell r="C213" t="str">
            <v>tooth18_type</v>
          </cell>
          <cell r="D213" t="str">
            <v>char(2)</v>
          </cell>
          <cell r="E213">
            <v>0</v>
          </cell>
          <cell r="F213">
            <v>0</v>
          </cell>
          <cell r="G213">
            <v>1</v>
          </cell>
          <cell r="H213">
            <v>1</v>
          </cell>
          <cell r="I213" t="str">
            <v>tooth18Type</v>
          </cell>
        </row>
        <row r="214">
          <cell r="B214" t="str">
            <v>牙19状态</v>
          </cell>
          <cell r="C214" t="str">
            <v>tooth19_type</v>
          </cell>
          <cell r="D214" t="str">
            <v>char(2)</v>
          </cell>
          <cell r="E214">
            <v>0</v>
          </cell>
          <cell r="F214">
            <v>0</v>
          </cell>
          <cell r="G214">
            <v>1</v>
          </cell>
          <cell r="H214">
            <v>1</v>
          </cell>
          <cell r="I214" t="str">
            <v>tooth19Type</v>
          </cell>
        </row>
        <row r="215">
          <cell r="B215" t="str">
            <v>牙20状态</v>
          </cell>
          <cell r="C215" t="str">
            <v>tooth20_type</v>
          </cell>
          <cell r="D215" t="str">
            <v>char(2)</v>
          </cell>
          <cell r="E215">
            <v>0</v>
          </cell>
          <cell r="F215">
            <v>0</v>
          </cell>
          <cell r="G215">
            <v>1</v>
          </cell>
          <cell r="H215">
            <v>1</v>
          </cell>
          <cell r="I215" t="str">
            <v>tooth20Type</v>
          </cell>
        </row>
        <row r="216">
          <cell r="B216" t="str">
            <v>查询日期</v>
          </cell>
          <cell r="C216" t="str">
            <v>select_date</v>
          </cell>
          <cell r="D216" t="str">
            <v>date</v>
          </cell>
          <cell r="E216">
            <v>0</v>
          </cell>
          <cell r="F216">
            <v>0</v>
          </cell>
          <cell r="G216">
            <v>1</v>
          </cell>
          <cell r="H216">
            <v>1</v>
          </cell>
          <cell r="I216" t="str">
            <v>selectDate</v>
          </cell>
        </row>
        <row r="217">
          <cell r="B217" t="str">
            <v>牙齿状态1颗数</v>
          </cell>
          <cell r="C217" t="str">
            <v>tooth_type1_count</v>
          </cell>
          <cell r="D217">
            <v>0</v>
          </cell>
          <cell r="E217">
            <v>0</v>
          </cell>
          <cell r="F217">
            <v>0</v>
          </cell>
          <cell r="G217">
            <v>1</v>
          </cell>
          <cell r="H217">
            <v>1</v>
          </cell>
          <cell r="I217" t="str">
            <v>toothType1Count</v>
          </cell>
        </row>
        <row r="218">
          <cell r="B218" t="str">
            <v>牙齿状态2颗数</v>
          </cell>
          <cell r="C218" t="str">
            <v>tooth_type2_count</v>
          </cell>
          <cell r="D218">
            <v>0</v>
          </cell>
          <cell r="E218">
            <v>0</v>
          </cell>
          <cell r="F218">
            <v>0</v>
          </cell>
          <cell r="G218">
            <v>1</v>
          </cell>
          <cell r="H218">
            <v>1</v>
          </cell>
          <cell r="I218" t="str">
            <v>toothType2Count</v>
          </cell>
        </row>
        <row r="219">
          <cell r="B219" t="str">
            <v>牙齿状态3颗数</v>
          </cell>
          <cell r="C219" t="str">
            <v>tooth_type3_count</v>
          </cell>
          <cell r="D219">
            <v>0</v>
          </cell>
          <cell r="E219">
            <v>0</v>
          </cell>
          <cell r="F219">
            <v>0</v>
          </cell>
          <cell r="G219">
            <v>1</v>
          </cell>
          <cell r="H219">
            <v>1</v>
          </cell>
          <cell r="I219" t="str">
            <v>toothType3Count</v>
          </cell>
        </row>
        <row r="220">
          <cell r="B220" t="str">
            <v>牙齿状态4颗数</v>
          </cell>
          <cell r="C220" t="str">
            <v>tooth_type4_count</v>
          </cell>
          <cell r="D220">
            <v>0</v>
          </cell>
          <cell r="E220">
            <v>0</v>
          </cell>
          <cell r="F220">
            <v>0</v>
          </cell>
          <cell r="G220">
            <v>1</v>
          </cell>
          <cell r="H220">
            <v>1</v>
          </cell>
          <cell r="I220" t="str">
            <v>toothType4Count</v>
          </cell>
        </row>
        <row r="221">
          <cell r="B221" t="str">
            <v>学生请假人数</v>
          </cell>
          <cell r="C221" t="str">
            <v>student_leave_count</v>
          </cell>
          <cell r="D221">
            <v>0</v>
          </cell>
          <cell r="E221">
            <v>0</v>
          </cell>
          <cell r="F221">
            <v>0</v>
          </cell>
          <cell r="G221">
            <v>1</v>
          </cell>
          <cell r="H221">
            <v>1</v>
          </cell>
          <cell r="I221" t="str">
            <v>studentLeaveCount</v>
          </cell>
        </row>
        <row r="222">
          <cell r="B222" t="str">
            <v>学生劝退人数</v>
          </cell>
          <cell r="C222" t="str">
            <v>student_out_count</v>
          </cell>
          <cell r="D222">
            <v>0</v>
          </cell>
          <cell r="E222">
            <v>0</v>
          </cell>
          <cell r="F222">
            <v>0</v>
          </cell>
          <cell r="G222">
            <v>1</v>
          </cell>
          <cell r="H222">
            <v>1</v>
          </cell>
          <cell r="I222" t="str">
            <v>studentOutCount</v>
          </cell>
        </row>
        <row r="223">
          <cell r="B223" t="str">
            <v>学生到园人数</v>
          </cell>
          <cell r="C223" t="str">
            <v>student_sign_count</v>
          </cell>
          <cell r="D223">
            <v>0</v>
          </cell>
          <cell r="E223">
            <v>0</v>
          </cell>
          <cell r="F223">
            <v>0</v>
          </cell>
          <cell r="G223">
            <v>1</v>
          </cell>
          <cell r="H223">
            <v>1</v>
          </cell>
          <cell r="I223" t="str">
            <v>studentSignCount</v>
          </cell>
        </row>
        <row r="224">
          <cell r="B224" t="str">
            <v>学生全园人数</v>
          </cell>
          <cell r="C224" t="str">
            <v>student_count</v>
          </cell>
          <cell r="D224">
            <v>0</v>
          </cell>
          <cell r="E224">
            <v>0</v>
          </cell>
          <cell r="F224">
            <v>0</v>
          </cell>
          <cell r="G224">
            <v>1</v>
          </cell>
          <cell r="H224">
            <v>1</v>
          </cell>
          <cell r="I224" t="str">
            <v>studentCount</v>
          </cell>
        </row>
        <row r="225">
          <cell r="B225" t="str">
            <v>学生请假人数比例</v>
          </cell>
          <cell r="C225" t="str">
            <v>student_leave_proportion</v>
          </cell>
          <cell r="D225">
            <v>0</v>
          </cell>
          <cell r="E225">
            <v>0</v>
          </cell>
          <cell r="F225">
            <v>0</v>
          </cell>
          <cell r="G225">
            <v>1</v>
          </cell>
          <cell r="H225">
            <v>1</v>
          </cell>
          <cell r="I225" t="str">
            <v>studentLeaveProportion</v>
          </cell>
        </row>
        <row r="226">
          <cell r="B226" t="str">
            <v>学生劝退人数比例</v>
          </cell>
          <cell r="C226" t="str">
            <v>student_out_proportion</v>
          </cell>
          <cell r="D226">
            <v>0</v>
          </cell>
          <cell r="E226">
            <v>0</v>
          </cell>
          <cell r="F226">
            <v>0</v>
          </cell>
          <cell r="G226">
            <v>1</v>
          </cell>
          <cell r="H226">
            <v>1</v>
          </cell>
          <cell r="I226" t="str">
            <v>studentOutProportion</v>
          </cell>
        </row>
        <row r="227">
          <cell r="B227" t="str">
            <v>学生到园人数比例</v>
          </cell>
          <cell r="C227" t="str">
            <v>student_sing_proportion</v>
          </cell>
          <cell r="D227">
            <v>0</v>
          </cell>
          <cell r="E227">
            <v>0</v>
          </cell>
          <cell r="F227">
            <v>0</v>
          </cell>
          <cell r="G227">
            <v>1</v>
          </cell>
          <cell r="H227">
            <v>1</v>
          </cell>
          <cell r="I227" t="str">
            <v>studentSingProportion</v>
          </cell>
        </row>
        <row r="228">
          <cell r="B228" t="str">
            <v>学生未到园人数</v>
          </cell>
          <cell r="C228" t="str">
            <v>student_no_sign_count</v>
          </cell>
          <cell r="D228">
            <v>0</v>
          </cell>
          <cell r="E228">
            <v>0</v>
          </cell>
          <cell r="F228">
            <v>0</v>
          </cell>
          <cell r="G228">
            <v>1</v>
          </cell>
          <cell r="H228">
            <v>1</v>
          </cell>
          <cell r="I228" t="str">
            <v>studentNoSignCount</v>
          </cell>
        </row>
        <row r="229">
          <cell r="B229" t="str">
            <v>学生出勤比例</v>
          </cell>
          <cell r="C229" t="str">
            <v>student_sign_proportion</v>
          </cell>
          <cell r="D229">
            <v>0</v>
          </cell>
          <cell r="E229">
            <v>0</v>
          </cell>
          <cell r="F229">
            <v>0</v>
          </cell>
          <cell r="G229">
            <v>1</v>
          </cell>
          <cell r="H229">
            <v>1</v>
          </cell>
          <cell r="I229" t="str">
            <v>studentSignProportion</v>
          </cell>
        </row>
        <row r="230">
          <cell r="B230" t="str">
            <v>教师请假人数</v>
          </cell>
          <cell r="C230" t="str">
            <v>teacher_leave_count</v>
          </cell>
          <cell r="D230">
            <v>0</v>
          </cell>
          <cell r="E230">
            <v>0</v>
          </cell>
          <cell r="F230">
            <v>0</v>
          </cell>
          <cell r="G230">
            <v>1</v>
          </cell>
          <cell r="H230">
            <v>1</v>
          </cell>
          <cell r="I230" t="str">
            <v>teacherLeaveCount</v>
          </cell>
        </row>
        <row r="231">
          <cell r="B231" t="str">
            <v>教师到园人数</v>
          </cell>
          <cell r="C231" t="str">
            <v>teacher_sign_count</v>
          </cell>
          <cell r="D231">
            <v>0</v>
          </cell>
          <cell r="E231">
            <v>0</v>
          </cell>
          <cell r="F231">
            <v>0</v>
          </cell>
          <cell r="G231">
            <v>1</v>
          </cell>
          <cell r="H231">
            <v>1</v>
          </cell>
          <cell r="I231" t="str">
            <v>teacherSignCount</v>
          </cell>
        </row>
        <row r="232">
          <cell r="B232" t="str">
            <v>教师全园人数</v>
          </cell>
          <cell r="C232" t="str">
            <v>teacher_count</v>
          </cell>
          <cell r="D232">
            <v>0</v>
          </cell>
          <cell r="E232">
            <v>0</v>
          </cell>
          <cell r="F232">
            <v>0</v>
          </cell>
          <cell r="G232">
            <v>1</v>
          </cell>
          <cell r="H232">
            <v>1</v>
          </cell>
          <cell r="I232" t="str">
            <v>teacherCount</v>
          </cell>
        </row>
        <row r="233">
          <cell r="B233" t="str">
            <v>教师请假人数比例</v>
          </cell>
          <cell r="C233" t="str">
            <v>teacher_leave_proportion</v>
          </cell>
          <cell r="D233">
            <v>0</v>
          </cell>
          <cell r="E233">
            <v>0</v>
          </cell>
          <cell r="F233">
            <v>0</v>
          </cell>
          <cell r="G233">
            <v>1</v>
          </cell>
          <cell r="H233">
            <v>1</v>
          </cell>
          <cell r="I233" t="str">
            <v>teacherLeaveProportion</v>
          </cell>
        </row>
        <row r="234">
          <cell r="B234" t="str">
            <v>教师到园人数比例</v>
          </cell>
          <cell r="C234" t="str">
            <v>teacher_sign_proportion</v>
          </cell>
          <cell r="D234">
            <v>0</v>
          </cell>
          <cell r="E234">
            <v>0</v>
          </cell>
          <cell r="F234">
            <v>0</v>
          </cell>
          <cell r="G234">
            <v>1</v>
          </cell>
          <cell r="H234">
            <v>1</v>
          </cell>
          <cell r="I234" t="str">
            <v>teacherSignProportion</v>
          </cell>
        </row>
        <row r="235">
          <cell r="B235" t="str">
            <v>教师未到园人数</v>
          </cell>
          <cell r="C235" t="str">
            <v>teacher_no_sign_count</v>
          </cell>
          <cell r="D235">
            <v>0</v>
          </cell>
          <cell r="E235">
            <v>0</v>
          </cell>
          <cell r="F235">
            <v>0</v>
          </cell>
          <cell r="G235">
            <v>1</v>
          </cell>
          <cell r="H235">
            <v>1</v>
          </cell>
          <cell r="I235" t="str">
            <v>teacherNoSignCount</v>
          </cell>
        </row>
        <row r="236">
          <cell r="B236" t="str">
            <v>专案管理-肥胖人数</v>
          </cell>
          <cell r="C236" t="str">
            <v>student_obesity_count</v>
          </cell>
          <cell r="D236">
            <v>0</v>
          </cell>
          <cell r="E236">
            <v>0</v>
          </cell>
          <cell r="F236">
            <v>0</v>
          </cell>
          <cell r="G236">
            <v>1</v>
          </cell>
          <cell r="H236">
            <v>1</v>
          </cell>
          <cell r="I236" t="str">
            <v>studentObesityCount</v>
          </cell>
        </row>
        <row r="237">
          <cell r="B237" t="str">
            <v>专案管理-超重人数</v>
          </cell>
          <cell r="C237" t="str">
            <v>student_overweight_count</v>
          </cell>
          <cell r="D237">
            <v>0</v>
          </cell>
          <cell r="E237">
            <v>0</v>
          </cell>
          <cell r="F237">
            <v>0</v>
          </cell>
          <cell r="G237">
            <v>1</v>
          </cell>
          <cell r="H237">
            <v>1</v>
          </cell>
          <cell r="I237" t="str">
            <v>studentOverweightCount</v>
          </cell>
        </row>
        <row r="238">
          <cell r="B238" t="str">
            <v>专案管理-迟缓人数</v>
          </cell>
          <cell r="C238" t="str">
            <v>student_slow_count</v>
          </cell>
          <cell r="D238">
            <v>0</v>
          </cell>
          <cell r="E238">
            <v>0</v>
          </cell>
          <cell r="F238">
            <v>0</v>
          </cell>
          <cell r="G238">
            <v>1</v>
          </cell>
          <cell r="H238">
            <v>1</v>
          </cell>
          <cell r="I238" t="str">
            <v>studentSlowCount</v>
          </cell>
        </row>
        <row r="239">
          <cell r="B239" t="str">
            <v>专案管理-贫血人数</v>
          </cell>
          <cell r="C239" t="str">
            <v>student_anemia_count</v>
          </cell>
          <cell r="D239">
            <v>0</v>
          </cell>
          <cell r="E239">
            <v>0</v>
          </cell>
          <cell r="F239">
            <v>0</v>
          </cell>
          <cell r="G239">
            <v>1</v>
          </cell>
          <cell r="H239">
            <v>1</v>
          </cell>
          <cell r="I239" t="str">
            <v>studentAnemiaCount</v>
          </cell>
        </row>
        <row r="240">
          <cell r="B240" t="str">
            <v>专案管理-过敏人数</v>
          </cell>
          <cell r="C240" t="str">
            <v>student_allergy_count</v>
          </cell>
          <cell r="D240">
            <v>0</v>
          </cell>
          <cell r="E240">
            <v>0</v>
          </cell>
          <cell r="F240">
            <v>0</v>
          </cell>
          <cell r="G240">
            <v>1</v>
          </cell>
          <cell r="H240">
            <v>1</v>
          </cell>
          <cell r="I240" t="str">
            <v>studentAllergyCount</v>
          </cell>
        </row>
        <row r="241">
          <cell r="B241" t="str">
            <v>专案管理-清真人数</v>
          </cell>
          <cell r="C241" t="str">
            <v>student_muslim_count</v>
          </cell>
          <cell r="D241">
            <v>0</v>
          </cell>
          <cell r="E241">
            <v>0</v>
          </cell>
          <cell r="F241">
            <v>0</v>
          </cell>
          <cell r="G241">
            <v>1</v>
          </cell>
          <cell r="H241">
            <v>1</v>
          </cell>
          <cell r="I241" t="str">
            <v>studentMuslimCount</v>
          </cell>
        </row>
        <row r="242">
          <cell r="B242" t="str">
            <v>专案管理-其他人数</v>
          </cell>
          <cell r="C242" t="str">
            <v>student_other_count</v>
          </cell>
          <cell r="D242">
            <v>0</v>
          </cell>
          <cell r="E242">
            <v>0</v>
          </cell>
          <cell r="F242">
            <v>0</v>
          </cell>
          <cell r="G242">
            <v>1</v>
          </cell>
          <cell r="H242">
            <v>1</v>
          </cell>
          <cell r="I242" t="str">
            <v>studentOtherCount</v>
          </cell>
        </row>
        <row r="243">
          <cell r="B243" t="str">
            <v>专案管理-肥胖比例</v>
          </cell>
          <cell r="C243" t="str">
            <v>student_obesity_proportion</v>
          </cell>
          <cell r="D243">
            <v>0</v>
          </cell>
          <cell r="E243">
            <v>0</v>
          </cell>
          <cell r="F243">
            <v>0</v>
          </cell>
          <cell r="G243">
            <v>1</v>
          </cell>
          <cell r="H243">
            <v>1</v>
          </cell>
          <cell r="I243" t="str">
            <v>studentObesityProportion</v>
          </cell>
        </row>
        <row r="244">
          <cell r="B244" t="str">
            <v>专案管理-超重比例</v>
          </cell>
          <cell r="C244" t="str">
            <v>student_overweight_proportion</v>
          </cell>
          <cell r="D244">
            <v>0</v>
          </cell>
          <cell r="E244">
            <v>0</v>
          </cell>
          <cell r="F244">
            <v>0</v>
          </cell>
          <cell r="G244">
            <v>1</v>
          </cell>
          <cell r="H244">
            <v>1</v>
          </cell>
          <cell r="I244" t="str">
            <v>studentOverweightProportion</v>
          </cell>
        </row>
        <row r="245">
          <cell r="B245" t="str">
            <v>专案管理-迟缓比例</v>
          </cell>
          <cell r="C245" t="str">
            <v>student_slow_proportion</v>
          </cell>
          <cell r="D245">
            <v>0</v>
          </cell>
          <cell r="E245">
            <v>0</v>
          </cell>
          <cell r="F245">
            <v>0</v>
          </cell>
          <cell r="G245">
            <v>1</v>
          </cell>
          <cell r="H245">
            <v>1</v>
          </cell>
          <cell r="I245" t="str">
            <v>studentSlowProportion</v>
          </cell>
        </row>
        <row r="246">
          <cell r="B246" t="str">
            <v>专案管理-贫血比例</v>
          </cell>
          <cell r="C246" t="str">
            <v>student_anemia_proportion</v>
          </cell>
          <cell r="D246">
            <v>0</v>
          </cell>
          <cell r="E246">
            <v>0</v>
          </cell>
          <cell r="F246">
            <v>0</v>
          </cell>
          <cell r="G246">
            <v>1</v>
          </cell>
          <cell r="H246">
            <v>1</v>
          </cell>
          <cell r="I246" t="str">
            <v>studentAnemiaProportion</v>
          </cell>
        </row>
        <row r="247">
          <cell r="B247" t="str">
            <v>专案管理-过敏比例</v>
          </cell>
          <cell r="C247" t="str">
            <v>student_allergy_proportion</v>
          </cell>
          <cell r="D247">
            <v>0</v>
          </cell>
          <cell r="E247">
            <v>0</v>
          </cell>
          <cell r="F247">
            <v>0</v>
          </cell>
          <cell r="G247">
            <v>1</v>
          </cell>
          <cell r="H247">
            <v>1</v>
          </cell>
          <cell r="I247" t="str">
            <v>studentAllergyProportion</v>
          </cell>
        </row>
        <row r="248">
          <cell r="B248" t="str">
            <v>专案管理-清真比例</v>
          </cell>
          <cell r="C248" t="str">
            <v>student_muslim_proportion</v>
          </cell>
          <cell r="D248">
            <v>0</v>
          </cell>
          <cell r="E248">
            <v>0</v>
          </cell>
          <cell r="F248">
            <v>0</v>
          </cell>
          <cell r="G248">
            <v>1</v>
          </cell>
          <cell r="H248">
            <v>1</v>
          </cell>
          <cell r="I248" t="str">
            <v>studentMuslimProportion</v>
          </cell>
        </row>
        <row r="249">
          <cell r="B249" t="str">
            <v>专案管理-其他比例</v>
          </cell>
          <cell r="C249" t="str">
            <v>student_othe_proportion</v>
          </cell>
          <cell r="D249">
            <v>0</v>
          </cell>
          <cell r="E249">
            <v>0</v>
          </cell>
          <cell r="F249">
            <v>0</v>
          </cell>
          <cell r="G249">
            <v>1</v>
          </cell>
          <cell r="H249">
            <v>1</v>
          </cell>
          <cell r="I249" t="str">
            <v>studentOtheProportion</v>
          </cell>
        </row>
        <row r="250">
          <cell r="B250" t="str">
            <v>未专案管理人数</v>
          </cell>
          <cell r="C250" t="str">
            <v>no_mag_studentr_count</v>
          </cell>
          <cell r="D250">
            <v>0</v>
          </cell>
          <cell r="E250">
            <v>0</v>
          </cell>
          <cell r="F250">
            <v>0</v>
          </cell>
          <cell r="G250">
            <v>1</v>
          </cell>
          <cell r="H250">
            <v>1</v>
          </cell>
          <cell r="I250" t="str">
            <v>noMagStudentrCount</v>
          </cell>
        </row>
        <row r="251">
          <cell r="B251" t="str">
            <v>专案管理比例</v>
          </cell>
          <cell r="C251" t="str">
            <v>no_mag_studentr_proportion</v>
          </cell>
          <cell r="D251">
            <v>0</v>
          </cell>
          <cell r="E251">
            <v>0</v>
          </cell>
          <cell r="F251">
            <v>0</v>
          </cell>
          <cell r="G251">
            <v>1</v>
          </cell>
          <cell r="H251">
            <v>1</v>
          </cell>
          <cell r="I251" t="str">
            <v>noMagStudentrProportion</v>
          </cell>
        </row>
        <row r="252">
          <cell r="B252" t="str">
            <v>异常事件-传染病人数</v>
          </cell>
          <cell r="C252" t="str">
            <v>studentr_contagion_count</v>
          </cell>
          <cell r="D252">
            <v>0</v>
          </cell>
          <cell r="E252">
            <v>0</v>
          </cell>
          <cell r="F252">
            <v>0</v>
          </cell>
          <cell r="G252">
            <v>1</v>
          </cell>
          <cell r="H252">
            <v>1</v>
          </cell>
          <cell r="I252" t="str">
            <v>studentrContagionCount</v>
          </cell>
        </row>
        <row r="253">
          <cell r="B253" t="str">
            <v>异常事件-体温异常人数</v>
          </cell>
          <cell r="C253" t="str">
            <v>studentr_temperature_count</v>
          </cell>
          <cell r="D253">
            <v>0</v>
          </cell>
          <cell r="E253">
            <v>0</v>
          </cell>
          <cell r="F253">
            <v>0</v>
          </cell>
          <cell r="G253">
            <v>1</v>
          </cell>
          <cell r="H253">
            <v>1</v>
          </cell>
          <cell r="I253" t="str">
            <v>studentrTemperatureCount</v>
          </cell>
        </row>
        <row r="254">
          <cell r="B254" t="str">
            <v>异常事件-心率异常人数</v>
          </cell>
          <cell r="C254" t="str">
            <v>studentr_heart_count</v>
          </cell>
          <cell r="D254">
            <v>0</v>
          </cell>
          <cell r="E254">
            <v>0</v>
          </cell>
          <cell r="F254">
            <v>0</v>
          </cell>
          <cell r="G254">
            <v>1</v>
          </cell>
          <cell r="H254">
            <v>1</v>
          </cell>
          <cell r="I254" t="str">
            <v>studentrHeartCount</v>
          </cell>
        </row>
        <row r="255">
          <cell r="B255" t="str">
            <v>异常事件-疾病人数</v>
          </cell>
          <cell r="C255" t="str">
            <v>studentr_disease_count</v>
          </cell>
          <cell r="D255">
            <v>0</v>
          </cell>
          <cell r="E255">
            <v>0</v>
          </cell>
          <cell r="F255">
            <v>0</v>
          </cell>
          <cell r="G255">
            <v>1</v>
          </cell>
          <cell r="H255">
            <v>1</v>
          </cell>
          <cell r="I255" t="str">
            <v>studentrDiseaseCount</v>
          </cell>
        </row>
        <row r="256">
          <cell r="B256" t="str">
            <v>异常事件-意外伤害人数</v>
          </cell>
          <cell r="C256" t="str">
            <v>studentr_hurt_count</v>
          </cell>
          <cell r="D256">
            <v>0</v>
          </cell>
          <cell r="E256">
            <v>0</v>
          </cell>
          <cell r="F256">
            <v>0</v>
          </cell>
          <cell r="G256">
            <v>1</v>
          </cell>
          <cell r="H256">
            <v>1</v>
          </cell>
          <cell r="I256" t="str">
            <v>studentrHurtCount</v>
          </cell>
        </row>
        <row r="257">
          <cell r="B257" t="str">
            <v>异常事件-传染病比例</v>
          </cell>
          <cell r="C257" t="str">
            <v>studentr_contagion_proportion</v>
          </cell>
          <cell r="D257">
            <v>0</v>
          </cell>
          <cell r="E257">
            <v>0</v>
          </cell>
          <cell r="F257">
            <v>0</v>
          </cell>
          <cell r="G257">
            <v>1</v>
          </cell>
          <cell r="H257">
            <v>1</v>
          </cell>
          <cell r="I257" t="str">
            <v>studentrContagionProportion</v>
          </cell>
        </row>
        <row r="258">
          <cell r="B258" t="str">
            <v>异常事件-体温异常比例</v>
          </cell>
          <cell r="C258" t="str">
            <v>studentr_temperature_proportion</v>
          </cell>
          <cell r="D258">
            <v>0</v>
          </cell>
          <cell r="E258">
            <v>0</v>
          </cell>
          <cell r="F258">
            <v>0</v>
          </cell>
          <cell r="G258">
            <v>1</v>
          </cell>
          <cell r="H258">
            <v>1</v>
          </cell>
          <cell r="I258" t="str">
            <v>studentrTemperatureProportion</v>
          </cell>
        </row>
        <row r="259">
          <cell r="B259" t="str">
            <v>异常事件-心率异常比例</v>
          </cell>
          <cell r="C259" t="str">
            <v>studentr_heart_proportion</v>
          </cell>
          <cell r="D259">
            <v>0</v>
          </cell>
          <cell r="E259">
            <v>0</v>
          </cell>
          <cell r="F259">
            <v>0</v>
          </cell>
          <cell r="G259">
            <v>1</v>
          </cell>
          <cell r="H259">
            <v>1</v>
          </cell>
          <cell r="I259" t="str">
            <v>studentrHeartProportion</v>
          </cell>
        </row>
        <row r="260">
          <cell r="B260" t="str">
            <v>异常事件-疾病比例</v>
          </cell>
          <cell r="C260" t="str">
            <v>studentr_disease_proportion</v>
          </cell>
          <cell r="D260">
            <v>0</v>
          </cell>
          <cell r="E260">
            <v>0</v>
          </cell>
          <cell r="F260">
            <v>0</v>
          </cell>
          <cell r="G260">
            <v>1</v>
          </cell>
          <cell r="H260">
            <v>1</v>
          </cell>
          <cell r="I260" t="str">
            <v>studentrDiseaseProportion</v>
          </cell>
        </row>
        <row r="261">
          <cell r="B261" t="str">
            <v>异常事件-意外伤害比例</v>
          </cell>
          <cell r="C261" t="str">
            <v>studentr_hurt_proportion</v>
          </cell>
          <cell r="D261">
            <v>0</v>
          </cell>
          <cell r="E261">
            <v>0</v>
          </cell>
          <cell r="F261">
            <v>0</v>
          </cell>
          <cell r="G261">
            <v>1</v>
          </cell>
          <cell r="H261">
            <v>1</v>
          </cell>
          <cell r="I261" t="str">
            <v>studentrHurtProportion</v>
          </cell>
        </row>
        <row r="262">
          <cell r="B262" t="str">
            <v>未异常事件管理人数</v>
          </cell>
          <cell r="C262" t="str">
            <v>no_abnormal_studentr_proportion</v>
          </cell>
          <cell r="D262">
            <v>0</v>
          </cell>
          <cell r="E262">
            <v>0</v>
          </cell>
          <cell r="F262">
            <v>0</v>
          </cell>
          <cell r="G262">
            <v>1</v>
          </cell>
          <cell r="H262">
            <v>1</v>
          </cell>
          <cell r="I262" t="str">
            <v>noAbnormalStudentrProportion</v>
          </cell>
        </row>
        <row r="263">
          <cell r="B263" t="str">
            <v>异常事件管理比例</v>
          </cell>
          <cell r="C263" t="str">
            <v>abnormal_proportion</v>
          </cell>
          <cell r="D263">
            <v>0</v>
          </cell>
          <cell r="E263">
            <v>0</v>
          </cell>
          <cell r="F263">
            <v>0</v>
          </cell>
          <cell r="G263">
            <v>1</v>
          </cell>
          <cell r="H263">
            <v>1</v>
          </cell>
          <cell r="I263" t="str">
            <v>abnormalProportion</v>
          </cell>
        </row>
        <row r="264">
          <cell r="B264" t="str">
            <v>人员状态</v>
          </cell>
          <cell r="C264" t="str">
            <v>people_type</v>
          </cell>
          <cell r="D264">
            <v>0</v>
          </cell>
          <cell r="E264">
            <v>0</v>
          </cell>
          <cell r="F264">
            <v>0</v>
          </cell>
          <cell r="G264">
            <v>1</v>
          </cell>
          <cell r="H264">
            <v>1</v>
          </cell>
          <cell r="I264" t="str">
            <v>peopleType</v>
          </cell>
        </row>
        <row r="265">
          <cell r="B265" t="str">
            <v>人员状态值</v>
          </cell>
          <cell r="C265" t="str">
            <v>people_type_value</v>
          </cell>
          <cell r="D265">
            <v>0</v>
          </cell>
          <cell r="E265">
            <v>0</v>
          </cell>
          <cell r="F265">
            <v>0</v>
          </cell>
          <cell r="G265">
            <v>1</v>
          </cell>
          <cell r="H265">
            <v>1</v>
          </cell>
          <cell r="I265" t="str">
            <v>peopleTypeValue</v>
          </cell>
        </row>
        <row r="266">
          <cell r="B266" t="str">
            <v>状态人数</v>
          </cell>
          <cell r="C266" t="str">
            <v>people_count</v>
          </cell>
          <cell r="D266">
            <v>0</v>
          </cell>
          <cell r="E266">
            <v>0</v>
          </cell>
          <cell r="F266">
            <v>0</v>
          </cell>
          <cell r="G266">
            <v>1</v>
          </cell>
          <cell r="H266">
            <v>1</v>
          </cell>
          <cell r="I266" t="str">
            <v>peopleCount</v>
          </cell>
        </row>
        <row r="267">
          <cell r="B267" t="str">
            <v>状态人数1</v>
          </cell>
          <cell r="C267" t="str">
            <v>people_count_one</v>
          </cell>
          <cell r="D267">
            <v>0</v>
          </cell>
          <cell r="E267">
            <v>0</v>
          </cell>
          <cell r="F267">
            <v>0</v>
          </cell>
          <cell r="G267">
            <v>1</v>
          </cell>
          <cell r="H267">
            <v>1</v>
          </cell>
          <cell r="I267" t="str">
            <v>peopleCountOne</v>
          </cell>
        </row>
        <row r="268">
          <cell r="B268" t="str">
            <v>状态人数2</v>
          </cell>
          <cell r="C268" t="str">
            <v>people_count_two</v>
          </cell>
          <cell r="D268">
            <v>0</v>
          </cell>
          <cell r="E268">
            <v>0</v>
          </cell>
          <cell r="F268">
            <v>0</v>
          </cell>
          <cell r="G268">
            <v>1</v>
          </cell>
          <cell r="H268">
            <v>1</v>
          </cell>
          <cell r="I268" t="str">
            <v>peopleCountTwo</v>
          </cell>
        </row>
        <row r="269">
          <cell r="B269" t="str">
            <v>总人数</v>
          </cell>
          <cell r="C269" t="str">
            <v>sum_people_count</v>
          </cell>
          <cell r="D269">
            <v>0</v>
          </cell>
          <cell r="E269">
            <v>0</v>
          </cell>
          <cell r="F269">
            <v>0</v>
          </cell>
          <cell r="G269">
            <v>1</v>
          </cell>
          <cell r="H269">
            <v>1</v>
          </cell>
          <cell r="I269" t="str">
            <v>sumPeopleCount</v>
          </cell>
        </row>
        <row r="270">
          <cell r="B270" t="str">
            <v>比例</v>
          </cell>
          <cell r="C270" t="str">
            <v>proportion</v>
          </cell>
          <cell r="D270">
            <v>0</v>
          </cell>
          <cell r="E270">
            <v>0</v>
          </cell>
          <cell r="F270">
            <v>0</v>
          </cell>
          <cell r="G270">
            <v>1</v>
          </cell>
          <cell r="H270">
            <v>1</v>
          </cell>
          <cell r="I270" t="str">
            <v>proportion</v>
          </cell>
        </row>
        <row r="271">
          <cell r="B271" t="str">
            <v>星座</v>
          </cell>
          <cell r="C271" t="str">
            <v>constellation</v>
          </cell>
          <cell r="D271">
            <v>0</v>
          </cell>
          <cell r="E271">
            <v>0</v>
          </cell>
          <cell r="F271">
            <v>0</v>
          </cell>
          <cell r="G271">
            <v>1</v>
          </cell>
          <cell r="H271">
            <v>1</v>
          </cell>
          <cell r="I271" t="str">
            <v>constellation</v>
          </cell>
        </row>
        <row r="272">
          <cell r="B272" t="str">
            <v>病名称</v>
          </cell>
          <cell r="C272" t="str">
            <v>disease_name</v>
          </cell>
          <cell r="D272" t="str">
            <v>varchar(20)</v>
          </cell>
          <cell r="E272">
            <v>0</v>
          </cell>
          <cell r="F272">
            <v>0</v>
          </cell>
          <cell r="G272">
            <v>1</v>
          </cell>
          <cell r="H272">
            <v>1</v>
          </cell>
          <cell r="I272" t="str">
            <v>diseaseName</v>
          </cell>
        </row>
        <row r="273">
          <cell r="B273" t="str">
            <v>称位</v>
          </cell>
          <cell r="C273" t="str">
            <v>call_name</v>
          </cell>
          <cell r="D273" t="str">
            <v>varchar(20)</v>
          </cell>
          <cell r="E273">
            <v>0</v>
          </cell>
          <cell r="F273">
            <v>0</v>
          </cell>
          <cell r="G273">
            <v>1</v>
          </cell>
          <cell r="H273">
            <v>1</v>
          </cell>
          <cell r="I273" t="str">
            <v>callName</v>
          </cell>
        </row>
        <row r="274">
          <cell r="B274" t="str">
            <v>考勤id</v>
          </cell>
          <cell r="C274" t="str">
            <v>checkin_id</v>
          </cell>
          <cell r="D274">
            <v>0</v>
          </cell>
          <cell r="E274">
            <v>0</v>
          </cell>
          <cell r="F274">
            <v>0</v>
          </cell>
          <cell r="G274">
            <v>1</v>
          </cell>
          <cell r="H274">
            <v>1</v>
          </cell>
          <cell r="I274" t="str">
            <v>checkinId</v>
          </cell>
        </row>
        <row r="275">
          <cell r="B275" t="str">
            <v>标准牙齿低</v>
          </cell>
          <cell r="C275" t="str">
            <v>standard_tooth_s</v>
          </cell>
          <cell r="D275" t="str">
            <v>varchar(20)</v>
          </cell>
          <cell r="E275">
            <v>0</v>
          </cell>
          <cell r="F275">
            <v>0</v>
          </cell>
          <cell r="G275">
            <v>1</v>
          </cell>
          <cell r="H275">
            <v>1</v>
          </cell>
          <cell r="I275" t="str">
            <v>standardToothS</v>
          </cell>
        </row>
        <row r="276">
          <cell r="B276" t="str">
            <v>标准牙齿高</v>
          </cell>
          <cell r="C276" t="str">
            <v>standard_tooth_e</v>
          </cell>
          <cell r="D276" t="str">
            <v>varchar(20)</v>
          </cell>
          <cell r="E276">
            <v>0</v>
          </cell>
          <cell r="F276">
            <v>0</v>
          </cell>
          <cell r="G276">
            <v>1</v>
          </cell>
          <cell r="H276">
            <v>1</v>
          </cell>
          <cell r="I276" t="str">
            <v>standardToothE</v>
          </cell>
        </row>
        <row r="277">
          <cell r="B277" t="str">
            <v>标准视力低</v>
          </cell>
          <cell r="C277" t="str">
            <v>standard_vision_s</v>
          </cell>
          <cell r="D277" t="str">
            <v>varchar(20)</v>
          </cell>
          <cell r="E277">
            <v>0</v>
          </cell>
          <cell r="F277">
            <v>0</v>
          </cell>
          <cell r="G277">
            <v>1</v>
          </cell>
          <cell r="H277">
            <v>1</v>
          </cell>
          <cell r="I277" t="str">
            <v>standardVisionS</v>
          </cell>
        </row>
        <row r="278">
          <cell r="B278" t="str">
            <v>标准视力高</v>
          </cell>
          <cell r="C278" t="str">
            <v>standard_vision_e</v>
          </cell>
          <cell r="D278" t="str">
            <v>varchar(20)</v>
          </cell>
          <cell r="E278">
            <v>0</v>
          </cell>
          <cell r="F278">
            <v>0</v>
          </cell>
          <cell r="G278">
            <v>1</v>
          </cell>
          <cell r="H278">
            <v>1</v>
          </cell>
          <cell r="I278" t="str">
            <v>standardVisionE</v>
          </cell>
        </row>
        <row r="279">
          <cell r="B279" t="str">
            <v>标准体温低</v>
          </cell>
          <cell r="C279" t="str">
            <v>standard_temperature_s</v>
          </cell>
          <cell r="D279" t="str">
            <v>varchar(20)</v>
          </cell>
          <cell r="E279">
            <v>0</v>
          </cell>
          <cell r="F279">
            <v>0</v>
          </cell>
          <cell r="G279">
            <v>1</v>
          </cell>
          <cell r="H279">
            <v>1</v>
          </cell>
          <cell r="I279" t="str">
            <v>standardTemperatureS</v>
          </cell>
        </row>
        <row r="280">
          <cell r="B280" t="str">
            <v>标准体温高</v>
          </cell>
          <cell r="C280" t="str">
            <v>standard_temperature_e</v>
          </cell>
          <cell r="D280" t="str">
            <v>varchar(20)</v>
          </cell>
          <cell r="E280">
            <v>0</v>
          </cell>
          <cell r="F280">
            <v>0</v>
          </cell>
          <cell r="G280">
            <v>1</v>
          </cell>
          <cell r="H280">
            <v>1</v>
          </cell>
          <cell r="I280" t="str">
            <v>standardTemperatureE</v>
          </cell>
        </row>
        <row r="281">
          <cell r="B281" t="str">
            <v>标准心率低</v>
          </cell>
          <cell r="C281" t="str">
            <v>standard_heart_s</v>
          </cell>
          <cell r="D281" t="str">
            <v>varchar(20)</v>
          </cell>
          <cell r="E281">
            <v>0</v>
          </cell>
          <cell r="F281">
            <v>0</v>
          </cell>
          <cell r="G281">
            <v>1</v>
          </cell>
          <cell r="H281">
            <v>1</v>
          </cell>
          <cell r="I281" t="str">
            <v>standardHeartS</v>
          </cell>
        </row>
        <row r="282">
          <cell r="B282" t="str">
            <v>标准心率高</v>
          </cell>
          <cell r="C282" t="str">
            <v>standard_heart_e</v>
          </cell>
          <cell r="D282" t="str">
            <v>varchar(20)</v>
          </cell>
          <cell r="E282">
            <v>0</v>
          </cell>
          <cell r="F282">
            <v>0</v>
          </cell>
          <cell r="G282">
            <v>1</v>
          </cell>
          <cell r="H282">
            <v>1</v>
          </cell>
          <cell r="I282" t="str">
            <v>standardHeartE</v>
          </cell>
        </row>
        <row r="283">
          <cell r="B283" t="str">
            <v>标准运动低</v>
          </cell>
          <cell r="C283" t="str">
            <v>standard_movement_s</v>
          </cell>
          <cell r="D283" t="str">
            <v>varchar(20)</v>
          </cell>
          <cell r="E283">
            <v>0</v>
          </cell>
          <cell r="F283">
            <v>0</v>
          </cell>
          <cell r="G283">
            <v>1</v>
          </cell>
          <cell r="H283">
            <v>1</v>
          </cell>
          <cell r="I283" t="str">
            <v>standardMovementS</v>
          </cell>
        </row>
        <row r="284">
          <cell r="B284" t="str">
            <v>标准运动高</v>
          </cell>
          <cell r="C284" t="str">
            <v>standard_movement_e</v>
          </cell>
          <cell r="D284" t="str">
            <v>varchar(20)</v>
          </cell>
          <cell r="E284">
            <v>0</v>
          </cell>
          <cell r="F284">
            <v>0</v>
          </cell>
          <cell r="G284">
            <v>1</v>
          </cell>
          <cell r="H284">
            <v>1</v>
          </cell>
          <cell r="I284" t="str">
            <v>standardMovementE</v>
          </cell>
        </row>
        <row r="285">
          <cell r="B285" t="str">
            <v>标准午睡低</v>
          </cell>
          <cell r="C285" t="str">
            <v>standard_nap_time_s</v>
          </cell>
          <cell r="D285" t="str">
            <v>varchar(20)</v>
          </cell>
          <cell r="E285">
            <v>0</v>
          </cell>
          <cell r="F285">
            <v>0</v>
          </cell>
          <cell r="G285">
            <v>1</v>
          </cell>
          <cell r="H285">
            <v>1</v>
          </cell>
          <cell r="I285" t="str">
            <v>standardNapTimeS</v>
          </cell>
        </row>
        <row r="286">
          <cell r="B286" t="str">
            <v>标准午睡高</v>
          </cell>
          <cell r="C286" t="str">
            <v>standard_nap_time_e</v>
          </cell>
          <cell r="D286" t="str">
            <v>varchar(20)</v>
          </cell>
          <cell r="E286">
            <v>0</v>
          </cell>
          <cell r="F286">
            <v>0</v>
          </cell>
          <cell r="G286">
            <v>1</v>
          </cell>
          <cell r="H286">
            <v>1</v>
          </cell>
          <cell r="I286" t="str">
            <v>standardNapTimeE</v>
          </cell>
        </row>
        <row r="287">
          <cell r="B287" t="str">
            <v>标准身高低</v>
          </cell>
          <cell r="C287" t="str">
            <v>standard_height_s</v>
          </cell>
          <cell r="D287" t="str">
            <v>varchar(20)</v>
          </cell>
          <cell r="E287">
            <v>0</v>
          </cell>
          <cell r="F287">
            <v>0</v>
          </cell>
          <cell r="G287">
            <v>1</v>
          </cell>
          <cell r="H287">
            <v>1</v>
          </cell>
          <cell r="I287" t="str">
            <v>standardHeightS</v>
          </cell>
        </row>
        <row r="288">
          <cell r="B288" t="str">
            <v>标准身高高</v>
          </cell>
          <cell r="C288" t="str">
            <v>standard_height_e</v>
          </cell>
          <cell r="D288" t="str">
            <v>varchar(20)</v>
          </cell>
          <cell r="E288">
            <v>0</v>
          </cell>
          <cell r="F288">
            <v>0</v>
          </cell>
          <cell r="G288">
            <v>1</v>
          </cell>
          <cell r="H288">
            <v>1</v>
          </cell>
          <cell r="I288" t="str">
            <v>standardHeightE</v>
          </cell>
        </row>
        <row r="289">
          <cell r="B289" t="str">
            <v>标准体重低</v>
          </cell>
          <cell r="C289" t="str">
            <v>standard_weight_s</v>
          </cell>
          <cell r="D289" t="str">
            <v>varchar(20)</v>
          </cell>
          <cell r="E289">
            <v>0</v>
          </cell>
          <cell r="F289">
            <v>0</v>
          </cell>
          <cell r="G289">
            <v>1</v>
          </cell>
          <cell r="H289">
            <v>1</v>
          </cell>
          <cell r="I289" t="str">
            <v>standardWeightS</v>
          </cell>
        </row>
        <row r="290">
          <cell r="B290" t="str">
            <v>标准体重高</v>
          </cell>
          <cell r="C290" t="str">
            <v>standard_weight_e</v>
          </cell>
          <cell r="D290" t="str">
            <v>varchar(20)</v>
          </cell>
          <cell r="E290">
            <v>0</v>
          </cell>
          <cell r="F290">
            <v>0</v>
          </cell>
          <cell r="G290">
            <v>1</v>
          </cell>
          <cell r="H290">
            <v>1</v>
          </cell>
          <cell r="I290" t="str">
            <v>standardWeightE</v>
          </cell>
        </row>
        <row r="291">
          <cell r="B291" t="str">
            <v>低</v>
          </cell>
          <cell r="C291" t="str">
            <v>low</v>
          </cell>
          <cell r="D291" t="str">
            <v>varchar(20)</v>
          </cell>
          <cell r="E291">
            <v>0</v>
          </cell>
          <cell r="F291">
            <v>0</v>
          </cell>
          <cell r="G291">
            <v>1</v>
          </cell>
          <cell r="H291">
            <v>1</v>
          </cell>
          <cell r="I291" t="str">
            <v>low</v>
          </cell>
        </row>
        <row r="292">
          <cell r="B292" t="str">
            <v>高</v>
          </cell>
          <cell r="C292" t="str">
            <v>high</v>
          </cell>
          <cell r="D292" t="str">
            <v>varchar(20)</v>
          </cell>
          <cell r="E292">
            <v>0</v>
          </cell>
          <cell r="F292">
            <v>0</v>
          </cell>
          <cell r="G292">
            <v>1</v>
          </cell>
          <cell r="H292">
            <v>1</v>
          </cell>
          <cell r="I292" t="str">
            <v>high</v>
          </cell>
        </row>
        <row r="293">
          <cell r="B293" t="str">
            <v>健康类型</v>
          </cell>
          <cell r="C293" t="str">
            <v>healthy_type</v>
          </cell>
          <cell r="D293" t="str">
            <v>varchar(20)</v>
          </cell>
          <cell r="E293">
            <v>0</v>
          </cell>
          <cell r="F293">
            <v>0</v>
          </cell>
          <cell r="G293">
            <v>1</v>
          </cell>
          <cell r="H293">
            <v>1</v>
          </cell>
          <cell r="I293" t="str">
            <v>healthyType</v>
          </cell>
        </row>
        <row r="294">
          <cell r="B294" t="str">
            <v>学校地址</v>
          </cell>
          <cell r="C294" t="str">
            <v>school_address</v>
          </cell>
          <cell r="D294" t="str">
            <v>varchar(200)</v>
          </cell>
          <cell r="E294">
            <v>0</v>
          </cell>
          <cell r="F294">
            <v>0</v>
          </cell>
          <cell r="G294">
            <v>1</v>
          </cell>
          <cell r="H294">
            <v>1</v>
          </cell>
          <cell r="I294" t="str">
            <v>schoolAddress</v>
          </cell>
        </row>
        <row r="295">
          <cell r="B295" t="str">
            <v>接种地址</v>
          </cell>
          <cell r="C295" t="str">
            <v>vaccination_address</v>
          </cell>
          <cell r="D295" t="str">
            <v>varchar(200)</v>
          </cell>
          <cell r="E295">
            <v>0</v>
          </cell>
          <cell r="F295">
            <v>0</v>
          </cell>
          <cell r="G295">
            <v>1</v>
          </cell>
          <cell r="H295">
            <v>1</v>
          </cell>
          <cell r="I295" t="str">
            <v>vaccinationAddress</v>
          </cell>
        </row>
        <row r="296">
          <cell r="B296" t="str">
            <v>取得标识</v>
          </cell>
          <cell r="C296" t="str">
            <v>get_flag</v>
          </cell>
          <cell r="D296" t="str">
            <v>char(1)</v>
          </cell>
          <cell r="E296">
            <v>0</v>
          </cell>
          <cell r="F296">
            <v>0</v>
          </cell>
          <cell r="G296">
            <v>1</v>
          </cell>
          <cell r="H296">
            <v>1</v>
          </cell>
          <cell r="I296" t="str">
            <v>getFlag</v>
          </cell>
        </row>
        <row r="297">
          <cell r="B297" t="str">
            <v>接种年龄段文字</v>
          </cell>
          <cell r="C297" t="str">
            <v>vaccination_age_text</v>
          </cell>
          <cell r="D297" t="str">
            <v>varchar(20)</v>
          </cell>
          <cell r="E297">
            <v>0</v>
          </cell>
          <cell r="F297">
            <v>0</v>
          </cell>
          <cell r="G297">
            <v>1</v>
          </cell>
          <cell r="H297">
            <v>1</v>
          </cell>
          <cell r="I297" t="str">
            <v>vaccinationAgeText</v>
          </cell>
        </row>
        <row r="298">
          <cell r="B298" t="str">
            <v>身高标准低</v>
          </cell>
          <cell r="C298" t="str">
            <v>standard_height_low</v>
          </cell>
          <cell r="D298" t="str">
            <v>varchar(20)</v>
          </cell>
          <cell r="E298">
            <v>0</v>
          </cell>
          <cell r="F298">
            <v>0</v>
          </cell>
          <cell r="G298">
            <v>1</v>
          </cell>
          <cell r="H298">
            <v>1</v>
          </cell>
          <cell r="I298" t="str">
            <v>standardHeightLow</v>
          </cell>
        </row>
        <row r="299">
          <cell r="B299" t="str">
            <v>身高标准高</v>
          </cell>
          <cell r="C299" t="str">
            <v>standard_height_high</v>
          </cell>
          <cell r="D299" t="str">
            <v>varchar(20)</v>
          </cell>
          <cell r="E299">
            <v>0</v>
          </cell>
          <cell r="F299">
            <v>0</v>
          </cell>
          <cell r="G299">
            <v>1</v>
          </cell>
          <cell r="H299">
            <v>1</v>
          </cell>
          <cell r="I299" t="str">
            <v>standardHeightHigh</v>
          </cell>
        </row>
        <row r="300">
          <cell r="B300" t="str">
            <v>体重标准低</v>
          </cell>
          <cell r="C300" t="str">
            <v>standard_weight_low</v>
          </cell>
          <cell r="D300" t="str">
            <v>varchar(20)</v>
          </cell>
          <cell r="E300">
            <v>0</v>
          </cell>
          <cell r="F300">
            <v>0</v>
          </cell>
          <cell r="G300">
            <v>1</v>
          </cell>
          <cell r="H300">
            <v>1</v>
          </cell>
          <cell r="I300" t="str">
            <v>standardWeightLow</v>
          </cell>
        </row>
        <row r="301">
          <cell r="B301" t="str">
            <v>体重标准高</v>
          </cell>
          <cell r="C301" t="str">
            <v>standard_weight_high</v>
          </cell>
          <cell r="D301" t="str">
            <v>varchar(20)</v>
          </cell>
          <cell r="E301">
            <v>0</v>
          </cell>
          <cell r="F301">
            <v>0</v>
          </cell>
          <cell r="G301">
            <v>1</v>
          </cell>
          <cell r="H301">
            <v>1</v>
          </cell>
          <cell r="I301" t="str">
            <v>standardWeightHigh</v>
          </cell>
        </row>
        <row r="302">
          <cell r="B302" t="str">
            <v>胸围标准低</v>
          </cell>
          <cell r="C302" t="str">
            <v>standard_bust_low</v>
          </cell>
          <cell r="D302" t="str">
            <v>varchar(20)</v>
          </cell>
          <cell r="E302">
            <v>0</v>
          </cell>
          <cell r="F302">
            <v>0</v>
          </cell>
          <cell r="G302">
            <v>1</v>
          </cell>
          <cell r="H302">
            <v>1</v>
          </cell>
          <cell r="I302" t="str">
            <v>standardBustLow</v>
          </cell>
        </row>
        <row r="303">
          <cell r="B303" t="str">
            <v>胸围标准高</v>
          </cell>
          <cell r="C303" t="str">
            <v>standard_bust_high</v>
          </cell>
          <cell r="D303" t="str">
            <v>varchar(20)</v>
          </cell>
          <cell r="E303">
            <v>0</v>
          </cell>
          <cell r="F303">
            <v>0</v>
          </cell>
          <cell r="G303">
            <v>1</v>
          </cell>
          <cell r="H303">
            <v>1</v>
          </cell>
          <cell r="I303" t="str">
            <v>standardBustHigh</v>
          </cell>
        </row>
        <row r="304">
          <cell r="B304" t="str">
            <v>头围标准低</v>
          </cell>
          <cell r="C304" t="str">
            <v>standard_head_low</v>
          </cell>
          <cell r="D304" t="str">
            <v>varchar(20)</v>
          </cell>
          <cell r="E304">
            <v>0</v>
          </cell>
          <cell r="F304">
            <v>0</v>
          </cell>
          <cell r="G304">
            <v>1</v>
          </cell>
          <cell r="H304">
            <v>1</v>
          </cell>
          <cell r="I304" t="str">
            <v>standardHeadLow</v>
          </cell>
        </row>
        <row r="305">
          <cell r="B305" t="str">
            <v>头围标准高</v>
          </cell>
          <cell r="C305" t="str">
            <v>standard_head_high</v>
          </cell>
          <cell r="D305" t="str">
            <v>varchar(20)</v>
          </cell>
          <cell r="E305">
            <v>0</v>
          </cell>
          <cell r="F305">
            <v>0</v>
          </cell>
          <cell r="G305">
            <v>1</v>
          </cell>
          <cell r="H305">
            <v>1</v>
          </cell>
          <cell r="I305" t="str">
            <v>standardHeadHigh</v>
          </cell>
        </row>
        <row r="306">
          <cell r="B306" t="str">
            <v>表示短日期</v>
          </cell>
          <cell r="C306" t="str">
            <v>view_short_date</v>
          </cell>
          <cell r="D306" t="str">
            <v>datetime</v>
          </cell>
          <cell r="E306">
            <v>0</v>
          </cell>
          <cell r="F306">
            <v>0</v>
          </cell>
          <cell r="G306">
            <v>1</v>
          </cell>
          <cell r="H306">
            <v>1</v>
          </cell>
          <cell r="I306" t="str">
            <v>viewShortDate</v>
          </cell>
        </row>
        <row r="307">
          <cell r="B307" t="str">
            <v>向前取得数据数量</v>
          </cell>
          <cell r="C307" t="str">
            <v>get_forward_data_cnt</v>
          </cell>
          <cell r="D307" t="str">
            <v>int</v>
          </cell>
          <cell r="E307">
            <v>0</v>
          </cell>
          <cell r="F307">
            <v>0</v>
          </cell>
          <cell r="G307">
            <v>1</v>
          </cell>
          <cell r="H307">
            <v>1</v>
          </cell>
          <cell r="I307" t="str">
            <v>getForwardDataCnt</v>
          </cell>
        </row>
        <row r="308">
          <cell r="B308" t="str">
            <v>向后取得数据数量</v>
          </cell>
          <cell r="C308" t="str">
            <v>get_back_data_cnt</v>
          </cell>
          <cell r="D308" t="str">
            <v>int</v>
          </cell>
          <cell r="E308">
            <v>0</v>
          </cell>
          <cell r="F308">
            <v>0</v>
          </cell>
          <cell r="G308">
            <v>1</v>
          </cell>
          <cell r="H308">
            <v>1</v>
          </cell>
          <cell r="I308" t="str">
            <v>getBackDataCnt</v>
          </cell>
        </row>
        <row r="309">
          <cell r="B309" t="str">
            <v>角色</v>
          </cell>
          <cell r="C309" t="str">
            <v>role</v>
          </cell>
          <cell r="D309" t="str">
            <v>char(1)</v>
          </cell>
          <cell r="E309">
            <v>0</v>
          </cell>
          <cell r="F309">
            <v>0</v>
          </cell>
          <cell r="G309">
            <v>1</v>
          </cell>
          <cell r="H309">
            <v>1</v>
          </cell>
          <cell r="I309" t="str">
            <v>role</v>
          </cell>
        </row>
        <row r="310">
          <cell r="B310" t="str">
            <v>报警标识</v>
          </cell>
          <cell r="C310" t="str">
            <v>alarm_flag</v>
          </cell>
          <cell r="D310" t="str">
            <v>char(1)</v>
          </cell>
          <cell r="E310">
            <v>0</v>
          </cell>
          <cell r="F310">
            <v>0</v>
          </cell>
          <cell r="G310">
            <v>1</v>
          </cell>
          <cell r="H310">
            <v>1</v>
          </cell>
          <cell r="I310" t="str">
            <v>alarmFlag</v>
          </cell>
        </row>
        <row r="311">
          <cell r="B311" t="str">
            <v>已读标识</v>
          </cell>
          <cell r="C311" t="str">
            <v>read_flag</v>
          </cell>
          <cell r="D311" t="str">
            <v>char(1)</v>
          </cell>
          <cell r="E311">
            <v>0</v>
          </cell>
          <cell r="F311">
            <v>0</v>
          </cell>
          <cell r="G311">
            <v>1</v>
          </cell>
          <cell r="H311">
            <v>1</v>
          </cell>
          <cell r="I311" t="str">
            <v>readFlag</v>
          </cell>
        </row>
        <row r="312">
          <cell r="B312" t="str">
            <v>用户标识</v>
          </cell>
          <cell r="C312" t="str">
            <v>user_flag</v>
          </cell>
          <cell r="D312" t="str">
            <v>char(1)</v>
          </cell>
          <cell r="E312">
            <v>0</v>
          </cell>
          <cell r="F312">
            <v>0</v>
          </cell>
          <cell r="G312">
            <v>1</v>
          </cell>
          <cell r="H312">
            <v>1</v>
          </cell>
          <cell r="I312" t="str">
            <v>userFlag</v>
          </cell>
        </row>
        <row r="313">
          <cell r="B313" t="str">
            <v>校园资讯关系者id</v>
          </cell>
          <cell r="C313" t="str">
            <v>campus_information_info_id</v>
          </cell>
          <cell r="D313" t="str">
            <v>bigint</v>
          </cell>
          <cell r="E313">
            <v>0</v>
          </cell>
          <cell r="F313">
            <v>0</v>
          </cell>
          <cell r="G313">
            <v>1</v>
          </cell>
          <cell r="H313">
            <v>1</v>
          </cell>
          <cell r="I313" t="str">
            <v>campusInformationInfoId</v>
          </cell>
        </row>
        <row r="314">
          <cell r="B314">
            <v>0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</row>
        <row r="315">
          <cell r="B315">
            <v>0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</row>
        <row r="316">
          <cell r="B316">
            <v>0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</row>
        <row r="317">
          <cell r="B317">
            <v>0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</row>
        <row r="318">
          <cell r="B318">
            <v>0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</row>
        <row r="319">
          <cell r="B319">
            <v>0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</row>
        <row r="320">
          <cell r="B320">
            <v>0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</row>
        <row r="321">
          <cell r="B321">
            <v>0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</row>
        <row r="322">
          <cell r="B322">
            <v>0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</row>
        <row r="323">
          <cell r="B323">
            <v>0</v>
          </cell>
          <cell r="C323">
            <v>0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</row>
        <row r="324">
          <cell r="B324">
            <v>0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</row>
        <row r="325">
          <cell r="B325">
            <v>0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</row>
        <row r="326">
          <cell r="B326">
            <v>0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</row>
        <row r="327">
          <cell r="B327">
            <v>0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</row>
        <row r="328">
          <cell r="B328">
            <v>0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</row>
        <row r="329">
          <cell r="B329">
            <v>0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</row>
        <row r="330">
          <cell r="B330">
            <v>0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</row>
        <row r="331">
          <cell r="B331">
            <v>0</v>
          </cell>
          <cell r="C331">
            <v>0</v>
          </cell>
          <cell r="D331">
            <v>0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</row>
        <row r="332">
          <cell r="B332">
            <v>0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</row>
        <row r="333">
          <cell r="B333">
            <v>0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</row>
        <row r="334">
          <cell r="B334">
            <v>0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</row>
        <row r="335">
          <cell r="B335">
            <v>0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>
            <v>0</v>
          </cell>
        </row>
        <row r="336">
          <cell r="B336">
            <v>0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</row>
        <row r="337">
          <cell r="B337">
            <v>0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</row>
        <row r="338">
          <cell r="B338">
            <v>0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</row>
        <row r="339">
          <cell r="B339">
            <v>0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</row>
        <row r="340">
          <cell r="B340">
            <v>0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</row>
        <row r="341">
          <cell r="B341">
            <v>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</row>
        <row r="342">
          <cell r="B342">
            <v>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</row>
        <row r="343">
          <cell r="B343">
            <v>0</v>
          </cell>
          <cell r="C343">
            <v>0</v>
          </cell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</row>
        <row r="344">
          <cell r="B344">
            <v>0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</row>
        <row r="345">
          <cell r="B345">
            <v>0</v>
          </cell>
          <cell r="C345">
            <v>0</v>
          </cell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</row>
        <row r="346"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</row>
        <row r="347"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</row>
        <row r="348">
          <cell r="B348">
            <v>0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</row>
        <row r="349">
          <cell r="B349">
            <v>0</v>
          </cell>
          <cell r="C349">
            <v>0</v>
          </cell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  <cell r="I349">
            <v>0</v>
          </cell>
        </row>
        <row r="350">
          <cell r="B350">
            <v>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</row>
        <row r="351">
          <cell r="B351">
            <v>0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</row>
        <row r="352">
          <cell r="B352">
            <v>0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</row>
        <row r="353">
          <cell r="B353">
            <v>0</v>
          </cell>
          <cell r="C353">
            <v>0</v>
          </cell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</row>
        <row r="354">
          <cell r="B354">
            <v>0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</row>
        <row r="355">
          <cell r="B355">
            <v>0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</row>
        <row r="356">
          <cell r="B356">
            <v>0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</row>
        <row r="357">
          <cell r="B357">
            <v>0</v>
          </cell>
          <cell r="C357">
            <v>0</v>
          </cell>
          <cell r="D357">
            <v>0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  <cell r="I357">
            <v>0</v>
          </cell>
        </row>
        <row r="358">
          <cell r="B358">
            <v>0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</row>
        <row r="359">
          <cell r="B359">
            <v>0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</row>
        <row r="360">
          <cell r="B360">
            <v>0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</row>
        <row r="361">
          <cell r="B361">
            <v>0</v>
          </cell>
          <cell r="C361">
            <v>0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</row>
        <row r="362"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</row>
        <row r="363">
          <cell r="B363">
            <v>0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</row>
        <row r="364">
          <cell r="B364">
            <v>0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</row>
        <row r="365">
          <cell r="B365">
            <v>0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</row>
        <row r="366">
          <cell r="B366">
            <v>0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</row>
        <row r="367">
          <cell r="B367">
            <v>0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</row>
        <row r="368">
          <cell r="B368">
            <v>0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</row>
        <row r="369">
          <cell r="B369">
            <v>0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</row>
        <row r="370">
          <cell r="B370">
            <v>0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</row>
        <row r="371"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</row>
        <row r="372">
          <cell r="B372">
            <v>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</row>
        <row r="373">
          <cell r="B373">
            <v>0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</row>
        <row r="374">
          <cell r="B374">
            <v>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</row>
        <row r="375">
          <cell r="B375">
            <v>0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</row>
        <row r="376">
          <cell r="B376">
            <v>0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</row>
        <row r="377">
          <cell r="B377">
            <v>0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</row>
        <row r="378">
          <cell r="B378">
            <v>0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</row>
        <row r="379">
          <cell r="B379">
            <v>0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</row>
        <row r="380">
          <cell r="B380">
            <v>0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</row>
        <row r="381">
          <cell r="B381">
            <v>0</v>
          </cell>
          <cell r="C381">
            <v>0</v>
          </cell>
          <cell r="D381">
            <v>0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  <cell r="I381">
            <v>0</v>
          </cell>
        </row>
        <row r="382">
          <cell r="B382">
            <v>0</v>
          </cell>
          <cell r="C382">
            <v>0</v>
          </cell>
          <cell r="D382">
            <v>0</v>
          </cell>
          <cell r="E382">
            <v>0</v>
          </cell>
          <cell r="F382">
            <v>0</v>
          </cell>
          <cell r="G382">
            <v>0</v>
          </cell>
          <cell r="H382">
            <v>0</v>
          </cell>
          <cell r="I382">
            <v>0</v>
          </cell>
        </row>
        <row r="383">
          <cell r="B383">
            <v>0</v>
          </cell>
          <cell r="C383">
            <v>0</v>
          </cell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</row>
        <row r="384">
          <cell r="B384">
            <v>0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</row>
        <row r="385">
          <cell r="B385">
            <v>0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</row>
        <row r="386">
          <cell r="B386">
            <v>0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</row>
        <row r="387">
          <cell r="B387">
            <v>0</v>
          </cell>
          <cell r="C387">
            <v>0</v>
          </cell>
          <cell r="D387">
            <v>0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</row>
        <row r="388">
          <cell r="B388">
            <v>0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</row>
        <row r="389">
          <cell r="B389">
            <v>0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</row>
        <row r="390">
          <cell r="B390">
            <v>0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</row>
        <row r="391">
          <cell r="B391">
            <v>0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</row>
        <row r="392">
          <cell r="B392">
            <v>0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</row>
        <row r="393">
          <cell r="B393">
            <v>0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</row>
        <row r="394">
          <cell r="B394">
            <v>0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</row>
        <row r="395">
          <cell r="B395">
            <v>0</v>
          </cell>
          <cell r="C395">
            <v>0</v>
          </cell>
          <cell r="D395">
            <v>0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  <cell r="I395">
            <v>0</v>
          </cell>
        </row>
        <row r="396">
          <cell r="B396">
            <v>0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</row>
        <row r="397">
          <cell r="B397">
            <v>0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</row>
        <row r="398">
          <cell r="B398">
            <v>0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</row>
        <row r="399">
          <cell r="B399">
            <v>0</v>
          </cell>
          <cell r="C399">
            <v>0</v>
          </cell>
          <cell r="D399">
            <v>0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</row>
        <row r="400">
          <cell r="B400">
            <v>0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</row>
        <row r="401">
          <cell r="B401">
            <v>0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</row>
        <row r="402">
          <cell r="B402">
            <v>0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</row>
        <row r="403">
          <cell r="B403">
            <v>0</v>
          </cell>
          <cell r="C403">
            <v>0</v>
          </cell>
          <cell r="D403">
            <v>0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</row>
        <row r="404">
          <cell r="B404">
            <v>0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</row>
        <row r="405">
          <cell r="B405">
            <v>0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</row>
        <row r="406">
          <cell r="B406">
            <v>0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</row>
        <row r="407">
          <cell r="B407">
            <v>0</v>
          </cell>
          <cell r="C407">
            <v>0</v>
          </cell>
          <cell r="D407">
            <v>0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</row>
        <row r="408">
          <cell r="B408">
            <v>0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</row>
        <row r="409">
          <cell r="B409">
            <v>0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</row>
        <row r="410">
          <cell r="B410">
            <v>0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</row>
        <row r="411">
          <cell r="B411">
            <v>0</v>
          </cell>
          <cell r="C411">
            <v>0</v>
          </cell>
          <cell r="D411">
            <v>0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  <cell r="I411">
            <v>0</v>
          </cell>
        </row>
        <row r="412">
          <cell r="B412">
            <v>0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</row>
        <row r="413">
          <cell r="B413">
            <v>0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</row>
        <row r="414">
          <cell r="B414">
            <v>0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</row>
        <row r="415">
          <cell r="B415">
            <v>0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</row>
        <row r="416">
          <cell r="B416">
            <v>0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</row>
        <row r="417">
          <cell r="B417">
            <v>0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</row>
        <row r="418">
          <cell r="B418">
            <v>0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</row>
        <row r="419">
          <cell r="B419">
            <v>0</v>
          </cell>
          <cell r="C419">
            <v>0</v>
          </cell>
          <cell r="D419">
            <v>0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  <cell r="I419">
            <v>0</v>
          </cell>
        </row>
        <row r="420">
          <cell r="B420">
            <v>0</v>
          </cell>
          <cell r="C420">
            <v>0</v>
          </cell>
          <cell r="D420">
            <v>0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  <cell r="I420">
            <v>0</v>
          </cell>
        </row>
        <row r="421">
          <cell r="B421">
            <v>0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</row>
        <row r="422">
          <cell r="B422">
            <v>0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</row>
        <row r="423">
          <cell r="B423">
            <v>0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</row>
        <row r="424">
          <cell r="B424">
            <v>0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</row>
        <row r="425">
          <cell r="B425">
            <v>0</v>
          </cell>
          <cell r="C425">
            <v>0</v>
          </cell>
          <cell r="D425">
            <v>0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</row>
        <row r="426">
          <cell r="B426">
            <v>0</v>
          </cell>
          <cell r="C426">
            <v>0</v>
          </cell>
          <cell r="D426">
            <v>0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  <cell r="I426">
            <v>0</v>
          </cell>
        </row>
        <row r="427">
          <cell r="B427">
            <v>0</v>
          </cell>
          <cell r="C427">
            <v>0</v>
          </cell>
          <cell r="D427">
            <v>0</v>
          </cell>
          <cell r="E427">
            <v>0</v>
          </cell>
          <cell r="F427">
            <v>0</v>
          </cell>
          <cell r="G427">
            <v>0</v>
          </cell>
          <cell r="H427">
            <v>0</v>
          </cell>
          <cell r="I427">
            <v>0</v>
          </cell>
        </row>
        <row r="428">
          <cell r="B428">
            <v>0</v>
          </cell>
          <cell r="C428">
            <v>0</v>
          </cell>
          <cell r="D428">
            <v>0</v>
          </cell>
          <cell r="E428">
            <v>0</v>
          </cell>
          <cell r="F428">
            <v>0</v>
          </cell>
          <cell r="G428">
            <v>0</v>
          </cell>
          <cell r="H428">
            <v>0</v>
          </cell>
          <cell r="I428">
            <v>0</v>
          </cell>
        </row>
        <row r="429">
          <cell r="B429">
            <v>0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</row>
        <row r="430">
          <cell r="B430">
            <v>0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</row>
        <row r="431">
          <cell r="B431">
            <v>0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</row>
        <row r="432">
          <cell r="B432">
            <v>0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</row>
        <row r="433">
          <cell r="B433">
            <v>0</v>
          </cell>
          <cell r="C433">
            <v>0</v>
          </cell>
          <cell r="D433">
            <v>0</v>
          </cell>
          <cell r="E433">
            <v>0</v>
          </cell>
          <cell r="F433">
            <v>0</v>
          </cell>
          <cell r="G433">
            <v>0</v>
          </cell>
          <cell r="H433">
            <v>0</v>
          </cell>
          <cell r="I433">
            <v>0</v>
          </cell>
        </row>
        <row r="434">
          <cell r="B434">
            <v>0</v>
          </cell>
          <cell r="C434">
            <v>0</v>
          </cell>
          <cell r="D434">
            <v>0</v>
          </cell>
          <cell r="E434">
            <v>0</v>
          </cell>
          <cell r="F434">
            <v>0</v>
          </cell>
          <cell r="G434">
            <v>0</v>
          </cell>
          <cell r="H434">
            <v>0</v>
          </cell>
          <cell r="I434">
            <v>0</v>
          </cell>
        </row>
        <row r="435">
          <cell r="B435">
            <v>0</v>
          </cell>
          <cell r="C435">
            <v>0</v>
          </cell>
          <cell r="D435">
            <v>0</v>
          </cell>
          <cell r="E435">
            <v>0</v>
          </cell>
          <cell r="F435">
            <v>0</v>
          </cell>
          <cell r="G435">
            <v>0</v>
          </cell>
          <cell r="H435">
            <v>0</v>
          </cell>
          <cell r="I435">
            <v>0</v>
          </cell>
        </row>
        <row r="436">
          <cell r="B436">
            <v>0</v>
          </cell>
          <cell r="C436">
            <v>0</v>
          </cell>
          <cell r="D436">
            <v>0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  <cell r="I436">
            <v>0</v>
          </cell>
        </row>
        <row r="437">
          <cell r="B437">
            <v>0</v>
          </cell>
          <cell r="C437">
            <v>0</v>
          </cell>
          <cell r="D437">
            <v>0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</row>
        <row r="438">
          <cell r="B438">
            <v>0</v>
          </cell>
          <cell r="C438">
            <v>0</v>
          </cell>
          <cell r="D438">
            <v>0</v>
          </cell>
          <cell r="E438">
            <v>0</v>
          </cell>
          <cell r="F438">
            <v>0</v>
          </cell>
          <cell r="G438">
            <v>0</v>
          </cell>
          <cell r="H438">
            <v>0</v>
          </cell>
          <cell r="I438">
            <v>0</v>
          </cell>
        </row>
        <row r="439">
          <cell r="B439">
            <v>0</v>
          </cell>
          <cell r="C439">
            <v>0</v>
          </cell>
          <cell r="D439">
            <v>0</v>
          </cell>
          <cell r="E439">
            <v>0</v>
          </cell>
          <cell r="F439">
            <v>0</v>
          </cell>
          <cell r="G439">
            <v>0</v>
          </cell>
          <cell r="H439">
            <v>0</v>
          </cell>
          <cell r="I439">
            <v>0</v>
          </cell>
        </row>
        <row r="440">
          <cell r="B440">
            <v>0</v>
          </cell>
          <cell r="C440">
            <v>0</v>
          </cell>
          <cell r="D440">
            <v>0</v>
          </cell>
          <cell r="E440">
            <v>0</v>
          </cell>
          <cell r="F440">
            <v>0</v>
          </cell>
          <cell r="G440">
            <v>0</v>
          </cell>
          <cell r="H440">
            <v>0</v>
          </cell>
          <cell r="I440">
            <v>0</v>
          </cell>
        </row>
        <row r="441">
          <cell r="B441">
            <v>0</v>
          </cell>
          <cell r="C441">
            <v>0</v>
          </cell>
          <cell r="D441">
            <v>0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  <cell r="I441">
            <v>0</v>
          </cell>
        </row>
        <row r="442">
          <cell r="B442">
            <v>0</v>
          </cell>
          <cell r="C442">
            <v>0</v>
          </cell>
          <cell r="D442">
            <v>0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</row>
        <row r="443">
          <cell r="B443">
            <v>0</v>
          </cell>
          <cell r="C443">
            <v>0</v>
          </cell>
          <cell r="D443">
            <v>0</v>
          </cell>
          <cell r="E443">
            <v>0</v>
          </cell>
          <cell r="F443">
            <v>0</v>
          </cell>
          <cell r="G443">
            <v>0</v>
          </cell>
          <cell r="H443">
            <v>0</v>
          </cell>
          <cell r="I443">
            <v>0</v>
          </cell>
        </row>
        <row r="444">
          <cell r="B444">
            <v>0</v>
          </cell>
          <cell r="C444">
            <v>0</v>
          </cell>
          <cell r="D444">
            <v>0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  <cell r="I444">
            <v>0</v>
          </cell>
        </row>
        <row r="445">
          <cell r="B445">
            <v>0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</row>
        <row r="446">
          <cell r="B446">
            <v>0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</row>
        <row r="447">
          <cell r="B447">
            <v>0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</row>
        <row r="448">
          <cell r="B448">
            <v>0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</row>
        <row r="449">
          <cell r="B449">
            <v>0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</row>
        <row r="450">
          <cell r="B450">
            <v>0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</row>
        <row r="451">
          <cell r="B451">
            <v>0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</row>
        <row r="452">
          <cell r="B452">
            <v>0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</row>
        <row r="453">
          <cell r="B453">
            <v>0</v>
          </cell>
          <cell r="C453">
            <v>0</v>
          </cell>
          <cell r="D453">
            <v>0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  <cell r="I453">
            <v>0</v>
          </cell>
        </row>
        <row r="454">
          <cell r="B454">
            <v>0</v>
          </cell>
          <cell r="C454">
            <v>0</v>
          </cell>
          <cell r="D454">
            <v>0</v>
          </cell>
          <cell r="E454">
            <v>0</v>
          </cell>
          <cell r="F454">
            <v>0</v>
          </cell>
          <cell r="G454">
            <v>0</v>
          </cell>
          <cell r="H454">
            <v>0</v>
          </cell>
          <cell r="I454">
            <v>0</v>
          </cell>
        </row>
        <row r="455">
          <cell r="B455">
            <v>0</v>
          </cell>
          <cell r="C455">
            <v>0</v>
          </cell>
          <cell r="D455">
            <v>0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  <cell r="I455">
            <v>0</v>
          </cell>
        </row>
        <row r="456">
          <cell r="B456">
            <v>0</v>
          </cell>
          <cell r="C456">
            <v>0</v>
          </cell>
          <cell r="D456">
            <v>0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I456">
            <v>0</v>
          </cell>
        </row>
        <row r="457">
          <cell r="B457">
            <v>0</v>
          </cell>
          <cell r="C457">
            <v>0</v>
          </cell>
          <cell r="D457">
            <v>0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  <cell r="I457">
            <v>0</v>
          </cell>
        </row>
        <row r="458">
          <cell r="B458">
            <v>0</v>
          </cell>
          <cell r="C458">
            <v>0</v>
          </cell>
          <cell r="D458">
            <v>0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  <cell r="I458">
            <v>0</v>
          </cell>
        </row>
        <row r="459">
          <cell r="B459">
            <v>0</v>
          </cell>
          <cell r="C459">
            <v>0</v>
          </cell>
          <cell r="D459">
            <v>0</v>
          </cell>
          <cell r="E459">
            <v>0</v>
          </cell>
          <cell r="F459">
            <v>0</v>
          </cell>
          <cell r="G459">
            <v>0</v>
          </cell>
          <cell r="H459">
            <v>0</v>
          </cell>
          <cell r="I459">
            <v>0</v>
          </cell>
        </row>
        <row r="460">
          <cell r="B460">
            <v>0</v>
          </cell>
          <cell r="C460">
            <v>0</v>
          </cell>
          <cell r="D460">
            <v>0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  <cell r="I460">
            <v>0</v>
          </cell>
        </row>
        <row r="461">
          <cell r="B461">
            <v>0</v>
          </cell>
          <cell r="C461">
            <v>0</v>
          </cell>
          <cell r="D461">
            <v>0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  <cell r="I461">
            <v>0</v>
          </cell>
        </row>
        <row r="462">
          <cell r="B462">
            <v>0</v>
          </cell>
          <cell r="C462">
            <v>0</v>
          </cell>
          <cell r="D462">
            <v>0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>
            <v>0</v>
          </cell>
        </row>
        <row r="463">
          <cell r="B463">
            <v>0</v>
          </cell>
          <cell r="C463">
            <v>0</v>
          </cell>
          <cell r="D463">
            <v>0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  <cell r="I463">
            <v>0</v>
          </cell>
        </row>
        <row r="464">
          <cell r="B464">
            <v>0</v>
          </cell>
          <cell r="C464">
            <v>0</v>
          </cell>
          <cell r="D464">
            <v>0</v>
          </cell>
          <cell r="E464">
            <v>0</v>
          </cell>
          <cell r="F464">
            <v>0</v>
          </cell>
          <cell r="G464">
            <v>0</v>
          </cell>
          <cell r="H464">
            <v>0</v>
          </cell>
          <cell r="I464">
            <v>0</v>
          </cell>
        </row>
        <row r="465">
          <cell r="B465">
            <v>0</v>
          </cell>
          <cell r="C465">
            <v>0</v>
          </cell>
          <cell r="D465">
            <v>0</v>
          </cell>
          <cell r="E465">
            <v>0</v>
          </cell>
          <cell r="F465">
            <v>0</v>
          </cell>
          <cell r="G465">
            <v>0</v>
          </cell>
          <cell r="H465">
            <v>0</v>
          </cell>
          <cell r="I465">
            <v>0</v>
          </cell>
        </row>
        <row r="466">
          <cell r="B466">
            <v>0</v>
          </cell>
          <cell r="C466">
            <v>0</v>
          </cell>
          <cell r="D466">
            <v>0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</row>
        <row r="467">
          <cell r="B467">
            <v>0</v>
          </cell>
          <cell r="C467">
            <v>0</v>
          </cell>
          <cell r="D467">
            <v>0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  <cell r="I467">
            <v>0</v>
          </cell>
        </row>
        <row r="468">
          <cell r="B468">
            <v>0</v>
          </cell>
          <cell r="C468">
            <v>0</v>
          </cell>
          <cell r="D468">
            <v>0</v>
          </cell>
          <cell r="E468">
            <v>0</v>
          </cell>
          <cell r="F468">
            <v>0</v>
          </cell>
          <cell r="G468">
            <v>0</v>
          </cell>
          <cell r="H468">
            <v>0</v>
          </cell>
          <cell r="I468">
            <v>0</v>
          </cell>
        </row>
        <row r="469">
          <cell r="B469">
            <v>0</v>
          </cell>
          <cell r="C469">
            <v>0</v>
          </cell>
          <cell r="D469">
            <v>0</v>
          </cell>
          <cell r="E469">
            <v>0</v>
          </cell>
          <cell r="F469">
            <v>0</v>
          </cell>
          <cell r="G469">
            <v>0</v>
          </cell>
          <cell r="H469">
            <v>0</v>
          </cell>
          <cell r="I469">
            <v>0</v>
          </cell>
        </row>
        <row r="470">
          <cell r="B470">
            <v>0</v>
          </cell>
          <cell r="C470">
            <v>0</v>
          </cell>
          <cell r="D470">
            <v>0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</row>
        <row r="471">
          <cell r="B471">
            <v>0</v>
          </cell>
          <cell r="C471">
            <v>0</v>
          </cell>
          <cell r="D471">
            <v>0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</row>
        <row r="472">
          <cell r="B472">
            <v>0</v>
          </cell>
          <cell r="C472">
            <v>0</v>
          </cell>
          <cell r="D472">
            <v>0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  <cell r="I472">
            <v>0</v>
          </cell>
        </row>
        <row r="473">
          <cell r="B473">
            <v>0</v>
          </cell>
          <cell r="C473">
            <v>0</v>
          </cell>
          <cell r="D473">
            <v>0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</row>
        <row r="474">
          <cell r="B474">
            <v>0</v>
          </cell>
          <cell r="C474">
            <v>0</v>
          </cell>
          <cell r="D474">
            <v>0</v>
          </cell>
          <cell r="E474">
            <v>0</v>
          </cell>
          <cell r="F474">
            <v>0</v>
          </cell>
          <cell r="G474">
            <v>0</v>
          </cell>
          <cell r="H474">
            <v>0</v>
          </cell>
          <cell r="I474">
            <v>0</v>
          </cell>
        </row>
        <row r="475">
          <cell r="B475">
            <v>0</v>
          </cell>
          <cell r="C475">
            <v>0</v>
          </cell>
          <cell r="D475">
            <v>0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  <cell r="I475">
            <v>0</v>
          </cell>
        </row>
        <row r="476">
          <cell r="B476">
            <v>0</v>
          </cell>
          <cell r="C476">
            <v>0</v>
          </cell>
          <cell r="D476">
            <v>0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  <cell r="I476">
            <v>0</v>
          </cell>
        </row>
        <row r="477">
          <cell r="B477">
            <v>0</v>
          </cell>
          <cell r="C477">
            <v>0</v>
          </cell>
          <cell r="D477">
            <v>0</v>
          </cell>
          <cell r="E477">
            <v>0</v>
          </cell>
          <cell r="F477">
            <v>0</v>
          </cell>
          <cell r="G477">
            <v>0</v>
          </cell>
          <cell r="H477">
            <v>0</v>
          </cell>
          <cell r="I477">
            <v>0</v>
          </cell>
        </row>
        <row r="478">
          <cell r="B478">
            <v>0</v>
          </cell>
          <cell r="C478">
            <v>0</v>
          </cell>
          <cell r="D478">
            <v>0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  <cell r="I478">
            <v>0</v>
          </cell>
        </row>
        <row r="479">
          <cell r="B479">
            <v>0</v>
          </cell>
          <cell r="C479">
            <v>0</v>
          </cell>
          <cell r="D479">
            <v>0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  <cell r="I479">
            <v>0</v>
          </cell>
        </row>
        <row r="480">
          <cell r="B480">
            <v>0</v>
          </cell>
          <cell r="C480">
            <v>0</v>
          </cell>
          <cell r="D480">
            <v>0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>
            <v>0</v>
          </cell>
        </row>
        <row r="481">
          <cell r="B481">
            <v>0</v>
          </cell>
          <cell r="C481">
            <v>0</v>
          </cell>
          <cell r="D481">
            <v>0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>
            <v>0</v>
          </cell>
        </row>
        <row r="482">
          <cell r="B482">
            <v>0</v>
          </cell>
          <cell r="C482">
            <v>0</v>
          </cell>
          <cell r="D482">
            <v>0</v>
          </cell>
          <cell r="E482">
            <v>0</v>
          </cell>
          <cell r="F482">
            <v>0</v>
          </cell>
          <cell r="G482">
            <v>0</v>
          </cell>
          <cell r="H482">
            <v>0</v>
          </cell>
          <cell r="I482">
            <v>0</v>
          </cell>
        </row>
        <row r="483">
          <cell r="B483">
            <v>0</v>
          </cell>
          <cell r="C483">
            <v>0</v>
          </cell>
          <cell r="D483">
            <v>0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  <cell r="I483">
            <v>0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://localhost:8080/HKR/UserServlet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hyperlink" Target="http://192.168.1.56:8080/HKR/UserServlet?method=changePicture" TargetMode="External"/><Relationship Id="rId1" Type="http://schemas.openxmlformats.org/officeDocument/2006/relationships/hyperlink" Target="http://192.168.1.56:8080/HKR/UserServlet" TargetMode="Externa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0000"/>
  </sheetPr>
  <dimension ref="A1:D19"/>
  <sheetViews>
    <sheetView zoomScale="130" zoomScaleNormal="130" workbookViewId="0">
      <selection activeCell="C3" sqref="C3"/>
    </sheetView>
  </sheetViews>
  <sheetFormatPr defaultColWidth="9" defaultRowHeight="13.5"/>
  <cols>
    <col min="1" max="1" width="12" customWidth="1"/>
    <col min="2" max="2" width="18.875" customWidth="1"/>
    <col min="3" max="3" width="37.75" customWidth="1"/>
    <col min="4" max="4" width="43" customWidth="1"/>
  </cols>
  <sheetData>
    <row r="1" spans="1:4">
      <c r="A1" s="29" t="s">
        <v>0</v>
      </c>
    </row>
    <row r="2" spans="1:4">
      <c r="B2" s="29" t="s">
        <v>1</v>
      </c>
      <c r="C2" s="55" t="s">
        <v>2</v>
      </c>
    </row>
    <row r="3" spans="1:4">
      <c r="B3" s="29" t="s">
        <v>3</v>
      </c>
      <c r="C3" s="55" t="s">
        <v>4</v>
      </c>
    </row>
    <row r="4" spans="1:4">
      <c r="B4" t="s">
        <v>5</v>
      </c>
      <c r="C4" s="55" t="s">
        <v>6</v>
      </c>
    </row>
    <row r="5" spans="1:4">
      <c r="B5" s="29" t="s">
        <v>7</v>
      </c>
      <c r="C5" s="55" t="s">
        <v>8</v>
      </c>
    </row>
    <row r="6" spans="1:4">
      <c r="B6" s="29" t="s">
        <v>9</v>
      </c>
      <c r="C6" s="55" t="s">
        <v>10</v>
      </c>
    </row>
    <row r="7" spans="1:4" ht="121.5">
      <c r="B7" s="29" t="s">
        <v>11</v>
      </c>
      <c r="C7" s="55" t="s">
        <v>12</v>
      </c>
      <c r="D7" s="55" t="s">
        <v>13</v>
      </c>
    </row>
    <row r="8" spans="1:4">
      <c r="B8" s="29" t="s">
        <v>14</v>
      </c>
      <c r="C8" s="55" t="s">
        <v>15</v>
      </c>
      <c r="D8" s="29" t="s">
        <v>16</v>
      </c>
    </row>
    <row r="9" spans="1:4" ht="170.25" customHeight="1">
      <c r="B9" s="29" t="s">
        <v>17</v>
      </c>
      <c r="C9" s="55" t="s">
        <v>18</v>
      </c>
      <c r="D9" s="55" t="s">
        <v>19</v>
      </c>
    </row>
    <row r="10" spans="1:4">
      <c r="B10" s="29" t="s">
        <v>20</v>
      </c>
      <c r="C10" s="55" t="s">
        <v>21</v>
      </c>
    </row>
    <row r="13" spans="1:4">
      <c r="A13" t="s">
        <v>22</v>
      </c>
    </row>
    <row r="15" spans="1:4">
      <c r="B15" t="s">
        <v>23</v>
      </c>
    </row>
    <row r="16" spans="1:4">
      <c r="B16" t="s">
        <v>24</v>
      </c>
    </row>
    <row r="17" spans="2:2">
      <c r="B17" t="s">
        <v>25</v>
      </c>
    </row>
    <row r="18" spans="2:2">
      <c r="B18" t="s">
        <v>26</v>
      </c>
    </row>
    <row r="19" spans="2:2">
      <c r="B19" t="s">
        <v>27</v>
      </c>
    </row>
  </sheetData>
  <phoneticPr fontId="38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0000"/>
  </sheetPr>
  <dimension ref="B1:E242"/>
  <sheetViews>
    <sheetView workbookViewId="0">
      <selection activeCell="C28" sqref="C28:E28"/>
    </sheetView>
  </sheetViews>
  <sheetFormatPr defaultColWidth="9" defaultRowHeight="13.5"/>
  <cols>
    <col min="2" max="2" width="15.25" customWidth="1"/>
    <col min="3" max="3" width="20.5" customWidth="1"/>
    <col min="4" max="4" width="13.875" customWidth="1"/>
    <col min="5" max="5" width="28.875" customWidth="1"/>
  </cols>
  <sheetData>
    <row r="1" spans="2:5">
      <c r="B1" s="82" t="s">
        <v>28</v>
      </c>
      <c r="C1" s="112" t="s">
        <v>29</v>
      </c>
      <c r="D1" s="112"/>
      <c r="E1" s="112"/>
    </row>
    <row r="2" spans="2:5">
      <c r="B2" s="83" t="s">
        <v>30</v>
      </c>
      <c r="C2" s="113" t="s">
        <v>31</v>
      </c>
      <c r="D2" s="113"/>
      <c r="E2" s="113"/>
    </row>
    <row r="3" spans="2:5">
      <c r="B3" s="83" t="s">
        <v>32</v>
      </c>
      <c r="C3" s="107" t="s">
        <v>33</v>
      </c>
      <c r="D3" s="108"/>
      <c r="E3" s="109"/>
    </row>
    <row r="4" spans="2:5">
      <c r="B4" s="83" t="s">
        <v>34</v>
      </c>
      <c r="C4" s="110" t="s">
        <v>35</v>
      </c>
      <c r="D4" s="110"/>
      <c r="E4" s="110"/>
    </row>
    <row r="5" spans="2:5">
      <c r="B5" s="83" t="s">
        <v>36</v>
      </c>
      <c r="C5" s="110"/>
      <c r="D5" s="110"/>
      <c r="E5" s="110"/>
    </row>
    <row r="6" spans="2:5">
      <c r="B6" s="105" t="s">
        <v>37</v>
      </c>
      <c r="C6" s="105"/>
      <c r="D6" s="105"/>
      <c r="E6" s="105"/>
    </row>
    <row r="7" spans="2:5">
      <c r="B7" s="84" t="s">
        <v>38</v>
      </c>
      <c r="C7" s="84" t="s">
        <v>39</v>
      </c>
      <c r="D7" s="84" t="s">
        <v>40</v>
      </c>
      <c r="E7" s="84" t="s">
        <v>41</v>
      </c>
    </row>
    <row r="8" spans="2:5">
      <c r="B8" s="11" t="s">
        <v>42</v>
      </c>
      <c r="C8" s="85" t="str">
        <f>IFERROR(VLOOKUP(B8,[1]字段定义字典!B:I,8,FALSE),"")</f>
        <v>curUserId</v>
      </c>
      <c r="D8" s="11" t="s">
        <v>43</v>
      </c>
      <c r="E8" s="11" t="s">
        <v>44</v>
      </c>
    </row>
    <row r="9" spans="2:5">
      <c r="B9" s="13" t="s">
        <v>45</v>
      </c>
      <c r="C9" s="22" t="s">
        <v>5</v>
      </c>
      <c r="D9" s="11"/>
      <c r="E9" s="11" t="s">
        <v>44</v>
      </c>
    </row>
    <row r="10" spans="2:5">
      <c r="B10" s="13" t="s">
        <v>46</v>
      </c>
      <c r="C10" s="22" t="s">
        <v>47</v>
      </c>
      <c r="D10" s="11"/>
      <c r="E10" s="11" t="s">
        <v>44</v>
      </c>
    </row>
    <row r="11" spans="2:5">
      <c r="B11" s="13" t="s">
        <v>48</v>
      </c>
      <c r="C11" s="13" t="s">
        <v>11</v>
      </c>
      <c r="D11" s="11"/>
      <c r="E11" s="11" t="s">
        <v>44</v>
      </c>
    </row>
    <row r="12" spans="2:5">
      <c r="B12" s="13" t="s">
        <v>49</v>
      </c>
      <c r="C12" s="13" t="s">
        <v>14</v>
      </c>
      <c r="D12" s="11"/>
      <c r="E12" s="11" t="s">
        <v>44</v>
      </c>
    </row>
    <row r="13" spans="2:5">
      <c r="B13" s="13" t="s">
        <v>50</v>
      </c>
      <c r="C13" s="13" t="s">
        <v>17</v>
      </c>
      <c r="D13" s="11"/>
      <c r="E13" s="11" t="s">
        <v>44</v>
      </c>
    </row>
    <row r="14" spans="2:5">
      <c r="B14" s="13" t="s">
        <v>51</v>
      </c>
      <c r="C14" s="13" t="s">
        <v>20</v>
      </c>
      <c r="D14" s="11"/>
      <c r="E14" s="11" t="s">
        <v>44</v>
      </c>
    </row>
    <row r="15" spans="2:5">
      <c r="B15" s="13" t="s">
        <v>52</v>
      </c>
      <c r="C15" s="85"/>
      <c r="D15" s="11"/>
      <c r="E15" s="11"/>
    </row>
    <row r="16" spans="2:5">
      <c r="B16" s="13" t="s">
        <v>53</v>
      </c>
      <c r="C16" s="85"/>
      <c r="D16" s="11"/>
      <c r="E16" s="11"/>
    </row>
    <row r="17" spans="2:5">
      <c r="B17" s="13" t="s">
        <v>54</v>
      </c>
      <c r="C17" s="85"/>
      <c r="D17" s="11"/>
      <c r="E17" s="11"/>
    </row>
    <row r="18" spans="2:5">
      <c r="B18" s="13" t="s">
        <v>55</v>
      </c>
      <c r="C18" s="85"/>
      <c r="D18" s="11"/>
      <c r="E18" s="11"/>
    </row>
    <row r="19" spans="2:5">
      <c r="B19" s="13" t="s">
        <v>56</v>
      </c>
      <c r="C19" s="85"/>
      <c r="D19" s="11"/>
      <c r="E19" s="11"/>
    </row>
    <row r="20" spans="2:5">
      <c r="B20" s="86" t="s">
        <v>57</v>
      </c>
      <c r="C20" s="111" t="s">
        <v>58</v>
      </c>
      <c r="D20" s="111"/>
      <c r="E20" s="111"/>
    </row>
    <row r="21" spans="2:5">
      <c r="B21" s="105" t="s">
        <v>59</v>
      </c>
      <c r="C21" s="105"/>
      <c r="D21" s="105"/>
      <c r="E21" s="105"/>
    </row>
    <row r="22" spans="2:5">
      <c r="B22" s="84" t="s">
        <v>38</v>
      </c>
      <c r="C22" s="84" t="s">
        <v>39</v>
      </c>
      <c r="D22" s="84" t="s">
        <v>40</v>
      </c>
      <c r="E22" s="84" t="s">
        <v>41</v>
      </c>
    </row>
    <row r="23" spans="2:5">
      <c r="B23" s="13" t="s">
        <v>60</v>
      </c>
      <c r="C23" s="85" t="str">
        <f>IFERROR(VLOOKUP(B23,[1]字段定义字典!B:I,8,FALSE),"")</f>
        <v>code</v>
      </c>
      <c r="D23" s="13" t="s">
        <v>43</v>
      </c>
      <c r="E23" s="13" t="s">
        <v>61</v>
      </c>
    </row>
    <row r="24" spans="2:5">
      <c r="B24" s="13" t="s">
        <v>62</v>
      </c>
      <c r="C24" s="85" t="str">
        <f>IFERROR(VLOOKUP(B24,[1]字段定义字典!B:I,8,FALSE),"")</f>
        <v>msg</v>
      </c>
      <c r="D24" s="13" t="s">
        <v>43</v>
      </c>
      <c r="E24" s="13" t="s">
        <v>63</v>
      </c>
    </row>
    <row r="25" spans="2:5">
      <c r="B25" s="13"/>
      <c r="C25" s="85"/>
      <c r="D25" s="13"/>
      <c r="E25" s="13"/>
    </row>
    <row r="26" spans="2:5">
      <c r="B26" s="86" t="s">
        <v>64</v>
      </c>
      <c r="C26" s="106" t="s">
        <v>65</v>
      </c>
      <c r="D26" s="106"/>
      <c r="E26" s="106"/>
    </row>
    <row r="28" spans="2:5">
      <c r="B28" s="82" t="s">
        <v>28</v>
      </c>
      <c r="C28" s="112" t="s">
        <v>66</v>
      </c>
      <c r="D28" s="112"/>
      <c r="E28" s="112"/>
    </row>
    <row r="29" spans="2:5">
      <c r="B29" s="83" t="s">
        <v>30</v>
      </c>
      <c r="C29" s="113" t="s">
        <v>67</v>
      </c>
      <c r="D29" s="113"/>
      <c r="E29" s="113"/>
    </row>
    <row r="30" spans="2:5">
      <c r="B30" s="83" t="s">
        <v>32</v>
      </c>
      <c r="C30" s="107" t="s">
        <v>33</v>
      </c>
      <c r="D30" s="108"/>
      <c r="E30" s="109"/>
    </row>
    <row r="31" spans="2:5">
      <c r="B31" s="83" t="s">
        <v>34</v>
      </c>
      <c r="C31" s="110" t="s">
        <v>68</v>
      </c>
      <c r="D31" s="110"/>
      <c r="E31" s="110"/>
    </row>
    <row r="32" spans="2:5">
      <c r="B32" s="83" t="s">
        <v>36</v>
      </c>
      <c r="C32" s="110"/>
      <c r="D32" s="110"/>
      <c r="E32" s="110"/>
    </row>
    <row r="33" spans="2:5">
      <c r="B33" s="105" t="s">
        <v>37</v>
      </c>
      <c r="C33" s="105"/>
      <c r="D33" s="105"/>
      <c r="E33" s="105"/>
    </row>
    <row r="34" spans="2:5">
      <c r="B34" s="84" t="s">
        <v>38</v>
      </c>
      <c r="C34" s="84" t="s">
        <v>39</v>
      </c>
      <c r="D34" s="84" t="s">
        <v>40</v>
      </c>
      <c r="E34" s="84" t="s">
        <v>41</v>
      </c>
    </row>
    <row r="35" spans="2:5">
      <c r="B35" s="11" t="s">
        <v>42</v>
      </c>
      <c r="C35" s="85" t="str">
        <f>IFERROR(VLOOKUP(B35,[1]字段定义字典!B:I,8,FALSE),"")</f>
        <v>curUserId</v>
      </c>
      <c r="D35" s="11" t="s">
        <v>43</v>
      </c>
      <c r="E35" s="11" t="s">
        <v>44</v>
      </c>
    </row>
    <row r="36" spans="2:5">
      <c r="B36" s="13" t="s">
        <v>45</v>
      </c>
      <c r="C36" s="22" t="s">
        <v>5</v>
      </c>
      <c r="D36" s="11"/>
      <c r="E36" s="11" t="s">
        <v>44</v>
      </c>
    </row>
    <row r="37" spans="2:5">
      <c r="B37" s="13" t="s">
        <v>46</v>
      </c>
      <c r="C37" s="22" t="s">
        <v>47</v>
      </c>
      <c r="D37" s="11"/>
      <c r="E37" s="11" t="s">
        <v>44</v>
      </c>
    </row>
    <row r="38" spans="2:5">
      <c r="B38" s="13" t="s">
        <v>48</v>
      </c>
      <c r="C38" s="29" t="s">
        <v>11</v>
      </c>
      <c r="D38" s="11"/>
      <c r="E38" s="11" t="s">
        <v>44</v>
      </c>
    </row>
    <row r="39" spans="2:5">
      <c r="B39" s="13" t="s">
        <v>49</v>
      </c>
      <c r="C39" s="29" t="s">
        <v>14</v>
      </c>
      <c r="D39" s="11"/>
      <c r="E39" s="11" t="s">
        <v>44</v>
      </c>
    </row>
    <row r="40" spans="2:5">
      <c r="B40" s="13" t="s">
        <v>50</v>
      </c>
      <c r="C40" s="29" t="s">
        <v>17</v>
      </c>
      <c r="D40" s="11"/>
      <c r="E40" s="11" t="s">
        <v>44</v>
      </c>
    </row>
    <row r="41" spans="2:5">
      <c r="B41" s="13" t="s">
        <v>51</v>
      </c>
      <c r="C41" s="29" t="s">
        <v>20</v>
      </c>
      <c r="D41" s="11"/>
      <c r="E41" s="11" t="s">
        <v>44</v>
      </c>
    </row>
    <row r="42" spans="2:5">
      <c r="B42" s="13" t="s">
        <v>69</v>
      </c>
      <c r="C42" s="85"/>
      <c r="D42" s="11" t="s">
        <v>43</v>
      </c>
      <c r="E42" s="11" t="s">
        <v>70</v>
      </c>
    </row>
    <row r="43" spans="2:5">
      <c r="B43" s="86" t="s">
        <v>57</v>
      </c>
      <c r="C43" s="111" t="s">
        <v>71</v>
      </c>
      <c r="D43" s="111"/>
      <c r="E43" s="111"/>
    </row>
    <row r="44" spans="2:5">
      <c r="B44" s="105" t="s">
        <v>59</v>
      </c>
      <c r="C44" s="105"/>
      <c r="D44" s="105"/>
      <c r="E44" s="105"/>
    </row>
    <row r="45" spans="2:5">
      <c r="B45" s="84" t="s">
        <v>38</v>
      </c>
      <c r="C45" s="84" t="s">
        <v>39</v>
      </c>
      <c r="D45" s="84" t="s">
        <v>40</v>
      </c>
      <c r="E45" s="84" t="s">
        <v>41</v>
      </c>
    </row>
    <row r="46" spans="2:5">
      <c r="B46" s="13" t="s">
        <v>60</v>
      </c>
      <c r="C46" s="85" t="str">
        <f>IFERROR(VLOOKUP(B46,[1]字段定义字典!B:I,8,FALSE),"")</f>
        <v>code</v>
      </c>
      <c r="D46" s="13" t="s">
        <v>43</v>
      </c>
      <c r="E46" s="13" t="s">
        <v>61</v>
      </c>
    </row>
    <row r="47" spans="2:5">
      <c r="B47" s="13" t="s">
        <v>62</v>
      </c>
      <c r="C47" s="85" t="str">
        <f>IFERROR(VLOOKUP(B47,[1]字段定义字典!B:I,8,FALSE),"")</f>
        <v>msg</v>
      </c>
      <c r="D47" s="13" t="s">
        <v>43</v>
      </c>
      <c r="E47" s="13" t="s">
        <v>63</v>
      </c>
    </row>
    <row r="48" spans="2:5">
      <c r="B48" s="13"/>
      <c r="C48" s="85"/>
      <c r="D48" s="13"/>
      <c r="E48" s="13"/>
    </row>
    <row r="49" spans="2:5">
      <c r="B49" s="86" t="s">
        <v>64</v>
      </c>
      <c r="C49" s="106" t="s">
        <v>65</v>
      </c>
      <c r="D49" s="106"/>
      <c r="E49" s="106"/>
    </row>
    <row r="51" spans="2:5">
      <c r="B51" s="82" t="s">
        <v>28</v>
      </c>
      <c r="C51" s="112" t="s">
        <v>72</v>
      </c>
      <c r="D51" s="112"/>
      <c r="E51" s="112"/>
    </row>
    <row r="52" spans="2:5">
      <c r="B52" s="83" t="s">
        <v>30</v>
      </c>
      <c r="C52" s="113" t="s">
        <v>73</v>
      </c>
      <c r="D52" s="113"/>
      <c r="E52" s="113"/>
    </row>
    <row r="53" spans="2:5">
      <c r="B53" s="83" t="s">
        <v>32</v>
      </c>
      <c r="C53" s="107" t="s">
        <v>33</v>
      </c>
      <c r="D53" s="108"/>
      <c r="E53" s="109"/>
    </row>
    <row r="54" spans="2:5">
      <c r="B54" s="83" t="s">
        <v>34</v>
      </c>
      <c r="C54" s="110" t="s">
        <v>74</v>
      </c>
      <c r="D54" s="110"/>
      <c r="E54" s="110"/>
    </row>
    <row r="55" spans="2:5">
      <c r="B55" s="83" t="s">
        <v>36</v>
      </c>
      <c r="C55" s="110"/>
      <c r="D55" s="110"/>
      <c r="E55" s="110"/>
    </row>
    <row r="56" spans="2:5">
      <c r="B56" s="105" t="s">
        <v>37</v>
      </c>
      <c r="C56" s="105"/>
      <c r="D56" s="105"/>
      <c r="E56" s="105"/>
    </row>
    <row r="57" spans="2:5">
      <c r="B57" s="84" t="s">
        <v>38</v>
      </c>
      <c r="C57" s="84" t="s">
        <v>39</v>
      </c>
      <c r="D57" s="84" t="s">
        <v>40</v>
      </c>
      <c r="E57" s="84" t="s">
        <v>41</v>
      </c>
    </row>
    <row r="58" spans="2:5">
      <c r="B58" s="11" t="s">
        <v>42</v>
      </c>
      <c r="C58" s="85" t="str">
        <f>IFERROR(VLOOKUP(B58,[1]字段定义字典!B:I,8,FALSE),"")</f>
        <v>curUserId</v>
      </c>
      <c r="D58" s="11" t="s">
        <v>43</v>
      </c>
      <c r="E58" s="11" t="s">
        <v>44</v>
      </c>
    </row>
    <row r="59" spans="2:5">
      <c r="B59" s="13" t="s">
        <v>45</v>
      </c>
      <c r="C59" s="22" t="s">
        <v>5</v>
      </c>
      <c r="D59" s="11"/>
      <c r="E59" s="11" t="s">
        <v>44</v>
      </c>
    </row>
    <row r="60" spans="2:5">
      <c r="B60" s="13" t="s">
        <v>46</v>
      </c>
      <c r="C60" s="22" t="s">
        <v>47</v>
      </c>
      <c r="D60" s="11"/>
      <c r="E60" s="11" t="s">
        <v>44</v>
      </c>
    </row>
    <row r="61" spans="2:5">
      <c r="B61" s="13" t="s">
        <v>48</v>
      </c>
      <c r="C61" s="13" t="s">
        <v>11</v>
      </c>
      <c r="D61" s="11"/>
      <c r="E61" s="11" t="s">
        <v>44</v>
      </c>
    </row>
    <row r="62" spans="2:5">
      <c r="B62" s="13" t="s">
        <v>49</v>
      </c>
      <c r="C62" s="13" t="s">
        <v>14</v>
      </c>
      <c r="D62" s="11"/>
      <c r="E62" s="11" t="s">
        <v>44</v>
      </c>
    </row>
    <row r="63" spans="2:5">
      <c r="B63" s="13" t="s">
        <v>50</v>
      </c>
      <c r="C63" s="13" t="s">
        <v>17</v>
      </c>
      <c r="D63" s="11"/>
      <c r="E63" s="11" t="s">
        <v>44</v>
      </c>
    </row>
    <row r="64" spans="2:5">
      <c r="B64" s="13" t="s">
        <v>51</v>
      </c>
      <c r="C64" s="13" t="s">
        <v>20</v>
      </c>
      <c r="D64" s="11"/>
      <c r="E64" s="11" t="s">
        <v>44</v>
      </c>
    </row>
    <row r="65" spans="2:5">
      <c r="B65" s="13" t="s">
        <v>75</v>
      </c>
      <c r="C65" s="13"/>
      <c r="D65" s="11"/>
      <c r="E65" s="11" t="s">
        <v>44</v>
      </c>
    </row>
    <row r="66" spans="2:5">
      <c r="B66" s="13" t="s">
        <v>52</v>
      </c>
      <c r="C66" s="85"/>
      <c r="D66" s="11"/>
      <c r="E66" s="11"/>
    </row>
    <row r="67" spans="2:5">
      <c r="B67" s="13" t="s">
        <v>53</v>
      </c>
      <c r="C67" s="85"/>
      <c r="D67" s="11"/>
      <c r="E67" s="11"/>
    </row>
    <row r="68" spans="2:5">
      <c r="B68" s="13" t="s">
        <v>54</v>
      </c>
      <c r="C68" s="85"/>
      <c r="D68" s="11"/>
      <c r="E68" s="11"/>
    </row>
    <row r="69" spans="2:5">
      <c r="B69" s="13" t="s">
        <v>55</v>
      </c>
      <c r="C69" s="85"/>
      <c r="D69" s="11"/>
      <c r="E69" s="11"/>
    </row>
    <row r="70" spans="2:5">
      <c r="B70" s="13" t="s">
        <v>56</v>
      </c>
      <c r="C70" s="85"/>
      <c r="D70" s="11"/>
      <c r="E70" s="11"/>
    </row>
    <row r="71" spans="2:5">
      <c r="B71" s="86" t="s">
        <v>57</v>
      </c>
      <c r="C71" s="111" t="s">
        <v>76</v>
      </c>
      <c r="D71" s="111"/>
      <c r="E71" s="111"/>
    </row>
    <row r="72" spans="2:5">
      <c r="B72" s="105" t="s">
        <v>59</v>
      </c>
      <c r="C72" s="105"/>
      <c r="D72" s="105"/>
      <c r="E72" s="105"/>
    </row>
    <row r="73" spans="2:5">
      <c r="B73" s="84" t="s">
        <v>38</v>
      </c>
      <c r="C73" s="84" t="s">
        <v>39</v>
      </c>
      <c r="D73" s="84" t="s">
        <v>40</v>
      </c>
      <c r="E73" s="84" t="s">
        <v>41</v>
      </c>
    </row>
    <row r="74" spans="2:5">
      <c r="B74" s="13" t="s">
        <v>60</v>
      </c>
      <c r="C74" s="85" t="str">
        <f>IFERROR(VLOOKUP(B74,[1]字段定义字典!B:I,8,FALSE),"")</f>
        <v>code</v>
      </c>
      <c r="D74" s="13" t="s">
        <v>43</v>
      </c>
      <c r="E74" s="13" t="s">
        <v>61</v>
      </c>
    </row>
    <row r="75" spans="2:5">
      <c r="B75" s="13" t="s">
        <v>62</v>
      </c>
      <c r="C75" s="85" t="str">
        <f>IFERROR(VLOOKUP(B75,[1]字段定义字典!B:I,8,FALSE),"")</f>
        <v>msg</v>
      </c>
      <c r="D75" s="13" t="s">
        <v>43</v>
      </c>
      <c r="E75" s="13" t="s">
        <v>63</v>
      </c>
    </row>
    <row r="76" spans="2:5">
      <c r="B76" s="13"/>
      <c r="C76" s="85"/>
      <c r="D76" s="13"/>
      <c r="E76" s="13"/>
    </row>
    <row r="77" spans="2:5">
      <c r="B77" s="86" t="s">
        <v>64</v>
      </c>
      <c r="C77" s="106" t="s">
        <v>65</v>
      </c>
      <c r="D77" s="106"/>
      <c r="E77" s="106"/>
    </row>
    <row r="79" spans="2:5">
      <c r="B79" s="82" t="s">
        <v>28</v>
      </c>
      <c r="C79" s="112" t="s">
        <v>77</v>
      </c>
      <c r="D79" s="112"/>
      <c r="E79" s="112"/>
    </row>
    <row r="80" spans="2:5">
      <c r="B80" s="83" t="s">
        <v>30</v>
      </c>
      <c r="C80" s="113" t="s">
        <v>78</v>
      </c>
      <c r="D80" s="113"/>
      <c r="E80" s="113"/>
    </row>
    <row r="81" spans="2:5">
      <c r="B81" s="83" t="s">
        <v>32</v>
      </c>
      <c r="C81" s="107" t="s">
        <v>33</v>
      </c>
      <c r="D81" s="108"/>
      <c r="E81" s="109"/>
    </row>
    <row r="82" spans="2:5">
      <c r="B82" s="83" t="s">
        <v>34</v>
      </c>
      <c r="C82" s="110" t="s">
        <v>79</v>
      </c>
      <c r="D82" s="110"/>
      <c r="E82" s="110"/>
    </row>
    <row r="83" spans="2:5">
      <c r="B83" s="83" t="s">
        <v>36</v>
      </c>
      <c r="C83" s="110"/>
      <c r="D83" s="110"/>
      <c r="E83" s="110"/>
    </row>
    <row r="84" spans="2:5">
      <c r="B84" s="105" t="s">
        <v>37</v>
      </c>
      <c r="C84" s="105"/>
      <c r="D84" s="105"/>
      <c r="E84" s="105"/>
    </row>
    <row r="85" spans="2:5">
      <c r="B85" s="84" t="s">
        <v>38</v>
      </c>
      <c r="C85" s="84" t="s">
        <v>39</v>
      </c>
      <c r="D85" s="84" t="s">
        <v>40</v>
      </c>
      <c r="E85" s="84" t="s">
        <v>41</v>
      </c>
    </row>
    <row r="86" spans="2:5">
      <c r="B86" s="11" t="s">
        <v>42</v>
      </c>
      <c r="C86" s="85" t="str">
        <f>IFERROR(VLOOKUP(B86,[1]字段定义字典!B:I,8,FALSE),"")</f>
        <v>curUserId</v>
      </c>
      <c r="D86" s="11" t="s">
        <v>43</v>
      </c>
      <c r="E86" s="11" t="s">
        <v>44</v>
      </c>
    </row>
    <row r="87" spans="2:5">
      <c r="B87" s="13" t="s">
        <v>45</v>
      </c>
      <c r="C87" s="22" t="s">
        <v>5</v>
      </c>
      <c r="D87" s="11"/>
      <c r="E87" s="11" t="s">
        <v>44</v>
      </c>
    </row>
    <row r="88" spans="2:5">
      <c r="B88" s="13" t="s">
        <v>46</v>
      </c>
      <c r="C88" s="22" t="s">
        <v>47</v>
      </c>
      <c r="D88" s="11"/>
      <c r="E88" s="11" t="s">
        <v>44</v>
      </c>
    </row>
    <row r="89" spans="2:5">
      <c r="B89" s="13" t="s">
        <v>48</v>
      </c>
      <c r="C89" s="13" t="s">
        <v>11</v>
      </c>
      <c r="D89" s="11"/>
      <c r="E89" s="11" t="s">
        <v>44</v>
      </c>
    </row>
    <row r="90" spans="2:5">
      <c r="B90" s="13" t="s">
        <v>49</v>
      </c>
      <c r="C90" s="13" t="s">
        <v>14</v>
      </c>
      <c r="D90" s="11"/>
      <c r="E90" s="11" t="s">
        <v>44</v>
      </c>
    </row>
    <row r="91" spans="2:5">
      <c r="B91" s="13" t="s">
        <v>50</v>
      </c>
      <c r="C91" s="13" t="s">
        <v>17</v>
      </c>
      <c r="D91" s="11"/>
      <c r="E91" s="11" t="s">
        <v>44</v>
      </c>
    </row>
    <row r="92" spans="2:5">
      <c r="B92" s="13" t="s">
        <v>51</v>
      </c>
      <c r="C92" s="13" t="s">
        <v>20</v>
      </c>
      <c r="D92" s="11"/>
      <c r="E92" s="11" t="s">
        <v>44</v>
      </c>
    </row>
    <row r="93" spans="2:5">
      <c r="B93" s="13" t="s">
        <v>80</v>
      </c>
      <c r="C93" s="13"/>
      <c r="D93" s="11"/>
      <c r="E93" s="11" t="s">
        <v>44</v>
      </c>
    </row>
    <row r="94" spans="2:5">
      <c r="B94" s="13" t="s">
        <v>56</v>
      </c>
      <c r="C94" s="85"/>
      <c r="D94" s="11"/>
      <c r="E94" s="11"/>
    </row>
    <row r="95" spans="2:5">
      <c r="B95" s="86" t="s">
        <v>57</v>
      </c>
      <c r="C95" s="111" t="s">
        <v>81</v>
      </c>
      <c r="D95" s="111"/>
      <c r="E95" s="111"/>
    </row>
    <row r="96" spans="2:5">
      <c r="B96" s="105" t="s">
        <v>59</v>
      </c>
      <c r="C96" s="105"/>
      <c r="D96" s="105"/>
      <c r="E96" s="105"/>
    </row>
    <row r="97" spans="2:5">
      <c r="B97" s="84" t="s">
        <v>38</v>
      </c>
      <c r="C97" s="84" t="s">
        <v>39</v>
      </c>
      <c r="D97" s="84" t="s">
        <v>40</v>
      </c>
      <c r="E97" s="84" t="s">
        <v>41</v>
      </c>
    </row>
    <row r="98" spans="2:5">
      <c r="B98" s="13" t="s">
        <v>60</v>
      </c>
      <c r="C98" s="85" t="str">
        <f>IFERROR(VLOOKUP(B98,[1]字段定义字典!B:I,8,FALSE),"")</f>
        <v>code</v>
      </c>
      <c r="D98" s="13" t="s">
        <v>43</v>
      </c>
      <c r="E98" s="13" t="s">
        <v>61</v>
      </c>
    </row>
    <row r="99" spans="2:5">
      <c r="B99" s="13" t="s">
        <v>62</v>
      </c>
      <c r="C99" s="85" t="str">
        <f>IFERROR(VLOOKUP(B99,[1]字段定义字典!B:I,8,FALSE),"")</f>
        <v>msg</v>
      </c>
      <c r="D99" s="13" t="s">
        <v>43</v>
      </c>
      <c r="E99" s="13" t="s">
        <v>63</v>
      </c>
    </row>
    <row r="100" spans="2:5">
      <c r="B100" s="13" t="s">
        <v>82</v>
      </c>
      <c r="C100" s="85" t="s">
        <v>83</v>
      </c>
      <c r="D100" s="13" t="s">
        <v>84</v>
      </c>
      <c r="E100" s="13"/>
    </row>
    <row r="101" spans="2:5">
      <c r="B101" s="13"/>
      <c r="C101" s="85"/>
      <c r="D101" s="13"/>
      <c r="E101" s="13"/>
    </row>
    <row r="102" spans="2:5">
      <c r="B102" s="86" t="s">
        <v>64</v>
      </c>
      <c r="C102" s="106" t="s">
        <v>85</v>
      </c>
      <c r="D102" s="106"/>
      <c r="E102" s="106"/>
    </row>
    <row r="104" spans="2:5">
      <c r="B104" s="82" t="s">
        <v>28</v>
      </c>
      <c r="C104" s="112" t="s">
        <v>86</v>
      </c>
      <c r="D104" s="112"/>
      <c r="E104" s="112"/>
    </row>
    <row r="105" spans="2:5">
      <c r="B105" s="83" t="s">
        <v>30</v>
      </c>
      <c r="C105" s="113" t="s">
        <v>87</v>
      </c>
      <c r="D105" s="113"/>
      <c r="E105" s="113"/>
    </row>
    <row r="106" spans="2:5">
      <c r="B106" s="83" t="s">
        <v>32</v>
      </c>
      <c r="C106" s="107" t="s">
        <v>33</v>
      </c>
      <c r="D106" s="108"/>
      <c r="E106" s="109"/>
    </row>
    <row r="107" spans="2:5">
      <c r="B107" s="83" t="s">
        <v>34</v>
      </c>
      <c r="C107" s="110" t="s">
        <v>88</v>
      </c>
      <c r="D107" s="110"/>
      <c r="E107" s="110"/>
    </row>
    <row r="108" spans="2:5">
      <c r="B108" s="83" t="s">
        <v>36</v>
      </c>
      <c r="C108" s="110"/>
      <c r="D108" s="110"/>
      <c r="E108" s="110"/>
    </row>
    <row r="109" spans="2:5">
      <c r="B109" s="105" t="s">
        <v>37</v>
      </c>
      <c r="C109" s="105"/>
      <c r="D109" s="105"/>
      <c r="E109" s="105"/>
    </row>
    <row r="110" spans="2:5">
      <c r="B110" s="84" t="s">
        <v>38</v>
      </c>
      <c r="C110" s="84" t="s">
        <v>39</v>
      </c>
      <c r="D110" s="84" t="s">
        <v>40</v>
      </c>
      <c r="E110" s="84" t="s">
        <v>41</v>
      </c>
    </row>
    <row r="111" spans="2:5">
      <c r="B111" s="11" t="s">
        <v>42</v>
      </c>
      <c r="C111" s="85" t="str">
        <f>IFERROR(VLOOKUP(B111,[1]字段定义字典!B:I,8,FALSE),"")</f>
        <v>curUserId</v>
      </c>
      <c r="D111" s="11" t="s">
        <v>43</v>
      </c>
      <c r="E111" s="11" t="s">
        <v>44</v>
      </c>
    </row>
    <row r="112" spans="2:5">
      <c r="B112" s="13" t="s">
        <v>45</v>
      </c>
      <c r="C112" s="22" t="s">
        <v>5</v>
      </c>
      <c r="D112" s="11"/>
      <c r="E112" s="11" t="s">
        <v>44</v>
      </c>
    </row>
    <row r="113" spans="2:5">
      <c r="B113" s="13" t="s">
        <v>46</v>
      </c>
      <c r="C113" s="22" t="s">
        <v>47</v>
      </c>
      <c r="D113" s="11"/>
      <c r="E113" s="11" t="s">
        <v>44</v>
      </c>
    </row>
    <row r="114" spans="2:5">
      <c r="B114" s="13" t="s">
        <v>48</v>
      </c>
      <c r="C114" s="13" t="s">
        <v>11</v>
      </c>
      <c r="D114" s="11"/>
      <c r="E114" s="11" t="s">
        <v>44</v>
      </c>
    </row>
    <row r="115" spans="2:5">
      <c r="B115" s="13" t="s">
        <v>49</v>
      </c>
      <c r="C115" s="13" t="s">
        <v>14</v>
      </c>
      <c r="D115" s="11"/>
      <c r="E115" s="11" t="s">
        <v>44</v>
      </c>
    </row>
    <row r="116" spans="2:5">
      <c r="B116" s="13" t="s">
        <v>50</v>
      </c>
      <c r="C116" s="13" t="s">
        <v>17</v>
      </c>
      <c r="D116" s="11"/>
      <c r="E116" s="11" t="s">
        <v>44</v>
      </c>
    </row>
    <row r="117" spans="2:5">
      <c r="B117" s="13" t="s">
        <v>51</v>
      </c>
      <c r="C117" s="13" t="s">
        <v>20</v>
      </c>
      <c r="D117" s="11"/>
      <c r="E117" s="11" t="s">
        <v>44</v>
      </c>
    </row>
    <row r="118" spans="2:5">
      <c r="B118" s="13" t="s">
        <v>52</v>
      </c>
      <c r="C118" s="13"/>
      <c r="D118" s="11"/>
      <c r="E118" s="11" t="s">
        <v>89</v>
      </c>
    </row>
    <row r="119" spans="2:5">
      <c r="B119" s="13" t="s">
        <v>53</v>
      </c>
      <c r="C119" s="13"/>
      <c r="D119" s="11"/>
      <c r="E119" s="11" t="s">
        <v>89</v>
      </c>
    </row>
    <row r="120" spans="2:5">
      <c r="B120" s="13" t="s">
        <v>54</v>
      </c>
      <c r="C120" s="13"/>
      <c r="D120" s="11"/>
      <c r="E120" s="11" t="s">
        <v>89</v>
      </c>
    </row>
    <row r="121" spans="2:5">
      <c r="B121" s="13" t="s">
        <v>55</v>
      </c>
      <c r="C121" s="13"/>
      <c r="D121" s="11"/>
      <c r="E121" s="11" t="s">
        <v>89</v>
      </c>
    </row>
    <row r="122" spans="2:5">
      <c r="B122" s="13" t="s">
        <v>56</v>
      </c>
      <c r="C122" s="85"/>
      <c r="D122" s="11"/>
      <c r="E122" s="11"/>
    </row>
    <row r="123" spans="2:5">
      <c r="B123" s="86" t="s">
        <v>57</v>
      </c>
      <c r="C123" s="111" t="s">
        <v>90</v>
      </c>
      <c r="D123" s="111"/>
      <c r="E123" s="111"/>
    </row>
    <row r="124" spans="2:5">
      <c r="B124" s="105" t="s">
        <v>59</v>
      </c>
      <c r="C124" s="105"/>
      <c r="D124" s="105"/>
      <c r="E124" s="105"/>
    </row>
    <row r="125" spans="2:5">
      <c r="B125" s="84" t="s">
        <v>38</v>
      </c>
      <c r="C125" s="84" t="s">
        <v>39</v>
      </c>
      <c r="D125" s="84" t="s">
        <v>40</v>
      </c>
      <c r="E125" s="84" t="s">
        <v>41</v>
      </c>
    </row>
    <row r="126" spans="2:5">
      <c r="B126" s="13" t="s">
        <v>60</v>
      </c>
      <c r="C126" s="85" t="str">
        <f>IFERROR(VLOOKUP(B126,[1]字段定义字典!B:I,8,FALSE),"")</f>
        <v>code</v>
      </c>
      <c r="D126" s="13" t="s">
        <v>43</v>
      </c>
      <c r="E126" s="13" t="s">
        <v>61</v>
      </c>
    </row>
    <row r="127" spans="2:5">
      <c r="B127" s="13" t="s">
        <v>62</v>
      </c>
      <c r="C127" s="85" t="str">
        <f>IFERROR(VLOOKUP(B127,[1]字段定义字典!B:I,8,FALSE),"")</f>
        <v>msg</v>
      </c>
      <c r="D127" s="13" t="s">
        <v>43</v>
      </c>
      <c r="E127" s="13" t="s">
        <v>63</v>
      </c>
    </row>
    <row r="128" spans="2:5">
      <c r="B128" s="13" t="s">
        <v>91</v>
      </c>
      <c r="C128" s="85" t="s">
        <v>92</v>
      </c>
      <c r="D128" s="13"/>
      <c r="E128" s="13"/>
    </row>
    <row r="129" spans="2:5">
      <c r="B129" s="13" t="s">
        <v>82</v>
      </c>
      <c r="C129" s="85" t="s">
        <v>83</v>
      </c>
      <c r="D129" s="13" t="s">
        <v>84</v>
      </c>
      <c r="E129" s="13"/>
    </row>
    <row r="130" spans="2:5">
      <c r="B130" s="13"/>
      <c r="C130" s="85" t="s">
        <v>93</v>
      </c>
      <c r="D130" s="13" t="s">
        <v>94</v>
      </c>
      <c r="E130" s="13"/>
    </row>
    <row r="131" spans="2:5">
      <c r="B131" s="13"/>
      <c r="C131" s="85" t="s">
        <v>95</v>
      </c>
      <c r="D131" s="13"/>
      <c r="E131" s="13"/>
    </row>
    <row r="132" spans="2:5">
      <c r="B132" s="13"/>
      <c r="C132" s="85" t="s">
        <v>96</v>
      </c>
      <c r="D132" s="13"/>
      <c r="E132" s="13"/>
    </row>
    <row r="133" spans="2:5">
      <c r="B133" s="13"/>
      <c r="C133" s="85" t="s">
        <v>97</v>
      </c>
      <c r="D133" s="13"/>
      <c r="E133" s="13"/>
    </row>
    <row r="134" spans="2:5">
      <c r="B134" s="13"/>
      <c r="C134" s="85" t="s">
        <v>98</v>
      </c>
      <c r="D134" s="13"/>
      <c r="E134" s="13"/>
    </row>
    <row r="135" spans="2:5">
      <c r="B135" s="13"/>
      <c r="C135" s="85" t="s">
        <v>99</v>
      </c>
      <c r="D135" s="13"/>
      <c r="E135" s="13"/>
    </row>
    <row r="136" spans="2:5">
      <c r="B136" s="86" t="s">
        <v>64</v>
      </c>
      <c r="C136" s="106" t="s">
        <v>100</v>
      </c>
      <c r="D136" s="106"/>
      <c r="E136" s="106"/>
    </row>
    <row r="138" spans="2:5">
      <c r="B138" s="82" t="s">
        <v>28</v>
      </c>
      <c r="C138" s="112" t="s">
        <v>101</v>
      </c>
      <c r="D138" s="112"/>
      <c r="E138" s="112"/>
    </row>
    <row r="139" spans="2:5">
      <c r="B139" s="83" t="s">
        <v>30</v>
      </c>
      <c r="C139" s="113" t="s">
        <v>102</v>
      </c>
      <c r="D139" s="113"/>
      <c r="E139" s="113"/>
    </row>
    <row r="140" spans="2:5">
      <c r="B140" s="83" t="s">
        <v>32</v>
      </c>
      <c r="C140" s="107" t="s">
        <v>33</v>
      </c>
      <c r="D140" s="108"/>
      <c r="E140" s="109"/>
    </row>
    <row r="141" spans="2:5">
      <c r="B141" s="83" t="s">
        <v>34</v>
      </c>
      <c r="C141" s="110" t="s">
        <v>88</v>
      </c>
      <c r="D141" s="110"/>
      <c r="E141" s="110"/>
    </row>
    <row r="142" spans="2:5">
      <c r="B142" s="83" t="s">
        <v>36</v>
      </c>
      <c r="C142" s="110"/>
      <c r="D142" s="110"/>
      <c r="E142" s="110"/>
    </row>
    <row r="143" spans="2:5">
      <c r="B143" s="105" t="s">
        <v>37</v>
      </c>
      <c r="C143" s="105"/>
      <c r="D143" s="105"/>
      <c r="E143" s="105"/>
    </row>
    <row r="144" spans="2:5">
      <c r="B144" s="84" t="s">
        <v>38</v>
      </c>
      <c r="C144" s="84" t="s">
        <v>39</v>
      </c>
      <c r="D144" s="84" t="s">
        <v>40</v>
      </c>
      <c r="E144" s="84" t="s">
        <v>41</v>
      </c>
    </row>
    <row r="145" spans="2:5">
      <c r="B145" s="11" t="s">
        <v>42</v>
      </c>
      <c r="C145" s="85" t="str">
        <f>IFERROR(VLOOKUP(B145,[1]字段定义字典!B:I,8,FALSE),"")</f>
        <v>curUserId</v>
      </c>
      <c r="D145" s="11" t="s">
        <v>43</v>
      </c>
      <c r="E145" s="11" t="s">
        <v>44</v>
      </c>
    </row>
    <row r="146" spans="2:5">
      <c r="B146" s="13" t="s">
        <v>45</v>
      </c>
      <c r="C146" s="22" t="s">
        <v>5</v>
      </c>
      <c r="D146" s="11"/>
      <c r="E146" s="11" t="s">
        <v>44</v>
      </c>
    </row>
    <row r="147" spans="2:5">
      <c r="B147" s="13" t="s">
        <v>46</v>
      </c>
      <c r="C147" s="22" t="s">
        <v>47</v>
      </c>
      <c r="D147" s="11"/>
      <c r="E147" s="11" t="s">
        <v>44</v>
      </c>
    </row>
    <row r="148" spans="2:5">
      <c r="B148" s="13" t="s">
        <v>48</v>
      </c>
      <c r="C148" s="13" t="s">
        <v>11</v>
      </c>
      <c r="D148" s="11"/>
      <c r="E148" s="11" t="s">
        <v>44</v>
      </c>
    </row>
    <row r="149" spans="2:5">
      <c r="B149" s="13" t="s">
        <v>49</v>
      </c>
      <c r="C149" s="13" t="s">
        <v>14</v>
      </c>
      <c r="D149" s="11"/>
      <c r="E149" s="11" t="s">
        <v>44</v>
      </c>
    </row>
    <row r="150" spans="2:5">
      <c r="B150" s="13" t="s">
        <v>50</v>
      </c>
      <c r="C150" s="13" t="s">
        <v>17</v>
      </c>
      <c r="D150" s="11"/>
      <c r="E150" s="11" t="s">
        <v>44</v>
      </c>
    </row>
    <row r="151" spans="2:5">
      <c r="B151" s="13" t="s">
        <v>51</v>
      </c>
      <c r="C151" s="13" t="s">
        <v>20</v>
      </c>
      <c r="D151" s="11"/>
      <c r="E151" s="11" t="s">
        <v>44</v>
      </c>
    </row>
    <row r="152" spans="2:5">
      <c r="B152" s="13" t="s">
        <v>52</v>
      </c>
      <c r="C152" s="13"/>
      <c r="D152" s="11"/>
      <c r="E152" s="11" t="s">
        <v>89</v>
      </c>
    </row>
    <row r="153" spans="2:5">
      <c r="B153" s="13" t="s">
        <v>53</v>
      </c>
      <c r="C153" s="13"/>
      <c r="D153" s="11"/>
      <c r="E153" s="11" t="s">
        <v>89</v>
      </c>
    </row>
    <row r="154" spans="2:5">
      <c r="B154" s="13" t="s">
        <v>54</v>
      </c>
      <c r="C154" s="13"/>
      <c r="D154" s="11"/>
      <c r="E154" s="11" t="s">
        <v>89</v>
      </c>
    </row>
    <row r="155" spans="2:5">
      <c r="B155" s="13" t="s">
        <v>55</v>
      </c>
      <c r="C155" s="13"/>
      <c r="D155" s="11"/>
      <c r="E155" s="11" t="s">
        <v>89</v>
      </c>
    </row>
    <row r="156" spans="2:5">
      <c r="B156" s="13" t="s">
        <v>56</v>
      </c>
      <c r="C156" s="85"/>
      <c r="D156" s="11"/>
      <c r="E156" s="11"/>
    </row>
    <row r="157" spans="2:5">
      <c r="B157" s="86" t="s">
        <v>57</v>
      </c>
      <c r="C157" s="111" t="s">
        <v>90</v>
      </c>
      <c r="D157" s="111"/>
      <c r="E157" s="111"/>
    </row>
    <row r="158" spans="2:5">
      <c r="B158" s="105" t="s">
        <v>59</v>
      </c>
      <c r="C158" s="105"/>
      <c r="D158" s="105"/>
      <c r="E158" s="105"/>
    </row>
    <row r="159" spans="2:5">
      <c r="B159" s="84" t="s">
        <v>38</v>
      </c>
      <c r="C159" s="84" t="s">
        <v>39</v>
      </c>
      <c r="D159" s="84" t="s">
        <v>40</v>
      </c>
      <c r="E159" s="84" t="s">
        <v>41</v>
      </c>
    </row>
    <row r="160" spans="2:5">
      <c r="B160" s="13" t="s">
        <v>60</v>
      </c>
      <c r="C160" s="85" t="str">
        <f>IFERROR(VLOOKUP(B160,[1]字段定义字典!B:I,8,FALSE),"")</f>
        <v>code</v>
      </c>
      <c r="D160" s="13" t="s">
        <v>43</v>
      </c>
      <c r="E160" s="13" t="s">
        <v>61</v>
      </c>
    </row>
    <row r="161" spans="2:5">
      <c r="B161" s="13" t="s">
        <v>62</v>
      </c>
      <c r="C161" s="85" t="str">
        <f>IFERROR(VLOOKUP(B161,[1]字段定义字典!B:I,8,FALSE),"")</f>
        <v>msg</v>
      </c>
      <c r="D161" s="13" t="s">
        <v>43</v>
      </c>
      <c r="E161" s="13" t="s">
        <v>63</v>
      </c>
    </row>
    <row r="162" spans="2:5">
      <c r="B162" s="13" t="s">
        <v>91</v>
      </c>
      <c r="C162" s="85" t="s">
        <v>92</v>
      </c>
      <c r="D162" s="13"/>
      <c r="E162" s="13"/>
    </row>
    <row r="163" spans="2:5">
      <c r="B163" s="13" t="s">
        <v>82</v>
      </c>
      <c r="C163" s="85" t="s">
        <v>83</v>
      </c>
      <c r="D163" s="13" t="s">
        <v>84</v>
      </c>
      <c r="E163" s="13"/>
    </row>
    <row r="164" spans="2:5">
      <c r="B164" s="13"/>
      <c r="C164" s="85" t="s">
        <v>93</v>
      </c>
      <c r="D164" s="13" t="s">
        <v>94</v>
      </c>
      <c r="E164" s="13"/>
    </row>
    <row r="165" spans="2:5">
      <c r="B165" s="13"/>
      <c r="C165" s="85" t="s">
        <v>95</v>
      </c>
      <c r="D165" s="13"/>
      <c r="E165" s="13"/>
    </row>
    <row r="166" spans="2:5">
      <c r="B166" s="13"/>
      <c r="C166" s="85" t="s">
        <v>96</v>
      </c>
      <c r="D166" s="13"/>
      <c r="E166" s="13"/>
    </row>
    <row r="167" spans="2:5">
      <c r="B167" s="13"/>
      <c r="C167" s="85" t="s">
        <v>97</v>
      </c>
      <c r="D167" s="13"/>
      <c r="E167" s="13"/>
    </row>
    <row r="168" spans="2:5">
      <c r="B168" s="13"/>
      <c r="C168" s="85" t="s">
        <v>98</v>
      </c>
      <c r="D168" s="13"/>
      <c r="E168" s="13"/>
    </row>
    <row r="169" spans="2:5">
      <c r="B169" s="13"/>
      <c r="C169" s="85" t="s">
        <v>99</v>
      </c>
      <c r="D169" s="13"/>
      <c r="E169" s="13"/>
    </row>
    <row r="170" spans="2:5">
      <c r="B170" s="86" t="s">
        <v>64</v>
      </c>
      <c r="C170" s="106" t="s">
        <v>100</v>
      </c>
      <c r="D170" s="106"/>
      <c r="E170" s="106"/>
    </row>
    <row r="172" spans="2:5">
      <c r="B172" s="82" t="s">
        <v>103</v>
      </c>
      <c r="C172" s="112" t="s">
        <v>104</v>
      </c>
      <c r="D172" s="112"/>
      <c r="E172" s="112"/>
    </row>
    <row r="173" spans="2:5">
      <c r="B173" s="83" t="s">
        <v>30</v>
      </c>
      <c r="C173" s="113" t="s">
        <v>105</v>
      </c>
      <c r="D173" s="113"/>
      <c r="E173" s="113"/>
    </row>
    <row r="174" spans="2:5">
      <c r="B174" s="83" t="s">
        <v>32</v>
      </c>
      <c r="C174" s="107" t="s">
        <v>33</v>
      </c>
      <c r="D174" s="108"/>
      <c r="E174" s="109"/>
    </row>
    <row r="175" spans="2:5">
      <c r="B175" s="83" t="s">
        <v>34</v>
      </c>
      <c r="C175" s="110" t="s">
        <v>88</v>
      </c>
      <c r="D175" s="110"/>
      <c r="E175" s="110"/>
    </row>
    <row r="176" spans="2:5">
      <c r="B176" s="83" t="s">
        <v>36</v>
      </c>
      <c r="C176" s="110"/>
      <c r="D176" s="110"/>
      <c r="E176" s="110"/>
    </row>
    <row r="177" spans="2:5">
      <c r="B177" s="105" t="s">
        <v>37</v>
      </c>
      <c r="C177" s="105"/>
      <c r="D177" s="105"/>
      <c r="E177" s="105"/>
    </row>
    <row r="178" spans="2:5">
      <c r="B178" s="84" t="s">
        <v>38</v>
      </c>
      <c r="C178" s="84" t="s">
        <v>39</v>
      </c>
      <c r="D178" s="84" t="s">
        <v>40</v>
      </c>
      <c r="E178" s="84" t="s">
        <v>41</v>
      </c>
    </row>
    <row r="179" spans="2:5">
      <c r="B179" s="11" t="s">
        <v>42</v>
      </c>
      <c r="C179" s="85" t="str">
        <f>IFERROR(VLOOKUP(B179,[1]字段定义字典!B:I,8,FALSE),"")</f>
        <v>curUserId</v>
      </c>
      <c r="D179" s="11" t="s">
        <v>43</v>
      </c>
      <c r="E179" s="11" t="s">
        <v>44</v>
      </c>
    </row>
    <row r="180" spans="2:5">
      <c r="B180" s="13" t="s">
        <v>45</v>
      </c>
      <c r="C180" s="22" t="s">
        <v>5</v>
      </c>
      <c r="D180" s="11"/>
      <c r="E180" s="11" t="s">
        <v>44</v>
      </c>
    </row>
    <row r="181" spans="2:5">
      <c r="B181" s="13" t="s">
        <v>46</v>
      </c>
      <c r="C181" s="22" t="s">
        <v>47</v>
      </c>
      <c r="D181" s="11"/>
      <c r="E181" s="11" t="s">
        <v>44</v>
      </c>
    </row>
    <row r="182" spans="2:5">
      <c r="B182" s="13" t="s">
        <v>48</v>
      </c>
      <c r="C182" s="13" t="s">
        <v>11</v>
      </c>
      <c r="D182" s="11"/>
      <c r="E182" s="11" t="s">
        <v>44</v>
      </c>
    </row>
    <row r="183" spans="2:5">
      <c r="B183" s="13" t="s">
        <v>49</v>
      </c>
      <c r="C183" s="13" t="s">
        <v>14</v>
      </c>
      <c r="D183" s="11"/>
      <c r="E183" s="11" t="s">
        <v>44</v>
      </c>
    </row>
    <row r="184" spans="2:5">
      <c r="B184" s="13" t="s">
        <v>50</v>
      </c>
      <c r="C184" s="13" t="s">
        <v>17</v>
      </c>
      <c r="D184" s="11"/>
      <c r="E184" s="11" t="s">
        <v>44</v>
      </c>
    </row>
    <row r="185" spans="2:5">
      <c r="B185" s="13" t="s">
        <v>51</v>
      </c>
      <c r="C185" s="13" t="s">
        <v>20</v>
      </c>
      <c r="D185" s="11"/>
      <c r="E185" s="11" t="s">
        <v>44</v>
      </c>
    </row>
    <row r="186" spans="2:5">
      <c r="B186" s="13" t="s">
        <v>106</v>
      </c>
      <c r="C186" s="13" t="s">
        <v>107</v>
      </c>
      <c r="D186" s="11"/>
      <c r="E186" s="11" t="s">
        <v>108</v>
      </c>
    </row>
    <row r="187" spans="2:5">
      <c r="B187" s="13" t="s">
        <v>109</v>
      </c>
      <c r="C187" s="13" t="s">
        <v>110</v>
      </c>
      <c r="D187" s="11"/>
      <c r="E187" s="11" t="s">
        <v>111</v>
      </c>
    </row>
    <row r="188" spans="2:5">
      <c r="B188" s="13" t="s">
        <v>52</v>
      </c>
      <c r="C188" s="13"/>
      <c r="D188" s="11"/>
      <c r="E188" s="11" t="s">
        <v>89</v>
      </c>
    </row>
    <row r="189" spans="2:5">
      <c r="B189" s="13" t="s">
        <v>53</v>
      </c>
      <c r="C189" s="13"/>
      <c r="D189" s="11"/>
      <c r="E189" s="11" t="s">
        <v>89</v>
      </c>
    </row>
    <row r="190" spans="2:5">
      <c r="B190" s="13" t="s">
        <v>54</v>
      </c>
      <c r="C190" s="13"/>
      <c r="D190" s="11"/>
      <c r="E190" s="11" t="s">
        <v>89</v>
      </c>
    </row>
    <row r="191" spans="2:5">
      <c r="B191" s="13" t="s">
        <v>55</v>
      </c>
      <c r="C191" s="13"/>
      <c r="D191" s="11"/>
      <c r="E191" s="11" t="s">
        <v>89</v>
      </c>
    </row>
    <row r="192" spans="2:5">
      <c r="B192" s="13" t="s">
        <v>56</v>
      </c>
      <c r="C192" s="85"/>
      <c r="D192" s="11"/>
      <c r="E192" s="11"/>
    </row>
    <row r="193" spans="2:5">
      <c r="B193" s="86" t="s">
        <v>57</v>
      </c>
      <c r="C193" s="111" t="s">
        <v>112</v>
      </c>
      <c r="D193" s="111"/>
      <c r="E193" s="111"/>
    </row>
    <row r="194" spans="2:5">
      <c r="B194" s="105" t="s">
        <v>59</v>
      </c>
      <c r="C194" s="105"/>
      <c r="D194" s="105"/>
      <c r="E194" s="105"/>
    </row>
    <row r="195" spans="2:5">
      <c r="B195" s="84" t="s">
        <v>38</v>
      </c>
      <c r="C195" s="84" t="s">
        <v>39</v>
      </c>
      <c r="D195" s="84" t="s">
        <v>40</v>
      </c>
      <c r="E195" s="84" t="s">
        <v>41</v>
      </c>
    </row>
    <row r="196" spans="2:5">
      <c r="B196" s="13" t="s">
        <v>60</v>
      </c>
      <c r="C196" s="85" t="str">
        <f>IFERROR(VLOOKUP(B196,[1]字段定义字典!B:I,8,FALSE),"")</f>
        <v>code</v>
      </c>
      <c r="D196" s="13" t="s">
        <v>43</v>
      </c>
      <c r="E196" s="13" t="s">
        <v>61</v>
      </c>
    </row>
    <row r="197" spans="2:5">
      <c r="B197" s="13" t="s">
        <v>62</v>
      </c>
      <c r="C197" s="85" t="str">
        <f>IFERROR(VLOOKUP(B197,[1]字段定义字典!B:I,8,FALSE),"")</f>
        <v>msg</v>
      </c>
      <c r="D197" s="13" t="s">
        <v>43</v>
      </c>
      <c r="E197" s="13" t="s">
        <v>63</v>
      </c>
    </row>
    <row r="198" spans="2:5">
      <c r="B198" s="13" t="s">
        <v>91</v>
      </c>
      <c r="C198" s="85" t="s">
        <v>92</v>
      </c>
      <c r="D198" s="13"/>
      <c r="E198" s="13"/>
    </row>
    <row r="199" spans="2:5">
      <c r="B199" s="13" t="s">
        <v>82</v>
      </c>
      <c r="C199" s="85" t="s">
        <v>83</v>
      </c>
      <c r="D199" s="13" t="s">
        <v>84</v>
      </c>
      <c r="E199" s="13"/>
    </row>
    <row r="200" spans="2:5">
      <c r="B200" s="13"/>
      <c r="C200" s="85" t="s">
        <v>93</v>
      </c>
      <c r="D200" s="13" t="s">
        <v>94</v>
      </c>
      <c r="E200" s="13"/>
    </row>
    <row r="201" spans="2:5">
      <c r="B201" s="13"/>
      <c r="C201" s="85" t="s">
        <v>95</v>
      </c>
      <c r="D201" s="13"/>
      <c r="E201" s="13"/>
    </row>
    <row r="202" spans="2:5">
      <c r="B202" s="13"/>
      <c r="C202" s="85" t="s">
        <v>96</v>
      </c>
      <c r="D202" s="13"/>
      <c r="E202" s="13"/>
    </row>
    <row r="203" spans="2:5">
      <c r="B203" s="13"/>
      <c r="C203" s="85" t="s">
        <v>97</v>
      </c>
      <c r="D203" s="13"/>
      <c r="E203" s="13"/>
    </row>
    <row r="204" spans="2:5">
      <c r="B204" s="13"/>
      <c r="C204" s="85" t="s">
        <v>98</v>
      </c>
      <c r="D204" s="13"/>
      <c r="E204" s="13"/>
    </row>
    <row r="205" spans="2:5">
      <c r="B205" s="13"/>
      <c r="C205" s="85" t="s">
        <v>99</v>
      </c>
      <c r="D205" s="13"/>
      <c r="E205" s="13"/>
    </row>
    <row r="206" spans="2:5">
      <c r="B206" s="86" t="s">
        <v>64</v>
      </c>
      <c r="C206" s="106" t="s">
        <v>100</v>
      </c>
      <c r="D206" s="106"/>
      <c r="E206" s="106"/>
    </row>
    <row r="208" spans="2:5">
      <c r="B208" s="82" t="s">
        <v>103</v>
      </c>
      <c r="C208" s="112" t="s">
        <v>113</v>
      </c>
      <c r="D208" s="112"/>
      <c r="E208" s="112"/>
    </row>
    <row r="209" spans="2:5">
      <c r="B209" s="83" t="s">
        <v>30</v>
      </c>
      <c r="C209" s="113" t="s">
        <v>114</v>
      </c>
      <c r="D209" s="113"/>
      <c r="E209" s="113"/>
    </row>
    <row r="210" spans="2:5">
      <c r="B210" s="83" t="s">
        <v>32</v>
      </c>
      <c r="C210" s="107" t="s">
        <v>33</v>
      </c>
      <c r="D210" s="108"/>
      <c r="E210" s="109"/>
    </row>
    <row r="211" spans="2:5">
      <c r="B211" s="83" t="s">
        <v>34</v>
      </c>
      <c r="C211" s="110" t="s">
        <v>88</v>
      </c>
      <c r="D211" s="110"/>
      <c r="E211" s="110"/>
    </row>
    <row r="212" spans="2:5">
      <c r="B212" s="83" t="s">
        <v>36</v>
      </c>
      <c r="C212" s="110"/>
      <c r="D212" s="110"/>
      <c r="E212" s="110"/>
    </row>
    <row r="213" spans="2:5">
      <c r="B213" s="105" t="s">
        <v>37</v>
      </c>
      <c r="C213" s="105"/>
      <c r="D213" s="105"/>
      <c r="E213" s="105"/>
    </row>
    <row r="214" spans="2:5">
      <c r="B214" s="84" t="s">
        <v>38</v>
      </c>
      <c r="C214" s="84" t="s">
        <v>39</v>
      </c>
      <c r="D214" s="84" t="s">
        <v>40</v>
      </c>
      <c r="E214" s="84" t="s">
        <v>41</v>
      </c>
    </row>
    <row r="215" spans="2:5">
      <c r="B215" s="11" t="s">
        <v>42</v>
      </c>
      <c r="C215" s="85" t="str">
        <f>IFERROR(VLOOKUP(B215,[1]字段定义字典!B:I,8,FALSE),"")</f>
        <v>curUserId</v>
      </c>
      <c r="D215" s="11" t="s">
        <v>43</v>
      </c>
      <c r="E215" s="11" t="s">
        <v>44</v>
      </c>
    </row>
    <row r="216" spans="2:5">
      <c r="B216" s="13" t="s">
        <v>45</v>
      </c>
      <c r="C216" s="22" t="s">
        <v>5</v>
      </c>
      <c r="D216" s="11"/>
      <c r="E216" s="11" t="s">
        <v>44</v>
      </c>
    </row>
    <row r="217" spans="2:5">
      <c r="B217" s="13" t="s">
        <v>46</v>
      </c>
      <c r="C217" s="22" t="s">
        <v>47</v>
      </c>
      <c r="D217" s="11"/>
      <c r="E217" s="11" t="s">
        <v>44</v>
      </c>
    </row>
    <row r="218" spans="2:5">
      <c r="B218" s="13" t="s">
        <v>48</v>
      </c>
      <c r="C218" s="13" t="s">
        <v>11</v>
      </c>
      <c r="D218" s="11"/>
      <c r="E218" s="11" t="s">
        <v>44</v>
      </c>
    </row>
    <row r="219" spans="2:5">
      <c r="B219" s="13" t="s">
        <v>49</v>
      </c>
      <c r="C219" s="13" t="s">
        <v>14</v>
      </c>
      <c r="D219" s="11"/>
      <c r="E219" s="11" t="s">
        <v>44</v>
      </c>
    </row>
    <row r="220" spans="2:5">
      <c r="B220" s="13" t="s">
        <v>50</v>
      </c>
      <c r="C220" s="13" t="s">
        <v>17</v>
      </c>
      <c r="D220" s="11"/>
      <c r="E220" s="11" t="s">
        <v>44</v>
      </c>
    </row>
    <row r="221" spans="2:5">
      <c r="B221" s="13" t="s">
        <v>51</v>
      </c>
      <c r="C221" s="13" t="s">
        <v>20</v>
      </c>
      <c r="D221" s="11"/>
      <c r="E221" s="11" t="s">
        <v>44</v>
      </c>
    </row>
    <row r="222" spans="2:5">
      <c r="B222" s="13" t="s">
        <v>106</v>
      </c>
      <c r="C222" s="13" t="s">
        <v>107</v>
      </c>
      <c r="D222" s="11"/>
      <c r="E222" s="11" t="s">
        <v>108</v>
      </c>
    </row>
    <row r="223" spans="2:5">
      <c r="B223" s="13" t="s">
        <v>109</v>
      </c>
      <c r="C223" s="13" t="s">
        <v>110</v>
      </c>
      <c r="D223" s="11"/>
      <c r="E223" s="11" t="s">
        <v>111</v>
      </c>
    </row>
    <row r="224" spans="2:5">
      <c r="B224" s="13" t="s">
        <v>52</v>
      </c>
      <c r="C224" s="13"/>
      <c r="D224" s="11"/>
      <c r="E224" s="11" t="s">
        <v>89</v>
      </c>
    </row>
    <row r="225" spans="2:5">
      <c r="B225" s="13" t="s">
        <v>53</v>
      </c>
      <c r="C225" s="13"/>
      <c r="D225" s="11"/>
      <c r="E225" s="11" t="s">
        <v>89</v>
      </c>
    </row>
    <row r="226" spans="2:5">
      <c r="B226" s="13" t="s">
        <v>54</v>
      </c>
      <c r="C226" s="13"/>
      <c r="D226" s="11"/>
      <c r="E226" s="11" t="s">
        <v>89</v>
      </c>
    </row>
    <row r="227" spans="2:5">
      <c r="B227" s="13" t="s">
        <v>55</v>
      </c>
      <c r="C227" s="13"/>
      <c r="D227" s="11"/>
      <c r="E227" s="11" t="s">
        <v>89</v>
      </c>
    </row>
    <row r="228" spans="2:5">
      <c r="B228" s="13" t="s">
        <v>56</v>
      </c>
      <c r="C228" s="85"/>
      <c r="D228" s="11"/>
      <c r="E228" s="11"/>
    </row>
    <row r="229" spans="2:5">
      <c r="B229" s="86" t="s">
        <v>57</v>
      </c>
      <c r="C229" s="111" t="s">
        <v>115</v>
      </c>
      <c r="D229" s="111"/>
      <c r="E229" s="111"/>
    </row>
    <row r="230" spans="2:5">
      <c r="B230" s="105" t="s">
        <v>59</v>
      </c>
      <c r="C230" s="105"/>
      <c r="D230" s="105"/>
      <c r="E230" s="105"/>
    </row>
    <row r="231" spans="2:5">
      <c r="B231" s="84" t="s">
        <v>38</v>
      </c>
      <c r="C231" s="84" t="s">
        <v>39</v>
      </c>
      <c r="D231" s="84" t="s">
        <v>40</v>
      </c>
      <c r="E231" s="84" t="s">
        <v>41</v>
      </c>
    </row>
    <row r="232" spans="2:5">
      <c r="B232" s="13" t="s">
        <v>60</v>
      </c>
      <c r="C232" s="85" t="str">
        <f>IFERROR(VLOOKUP(B232,[1]字段定义字典!B:I,8,FALSE),"")</f>
        <v>code</v>
      </c>
      <c r="D232" s="13" t="s">
        <v>43</v>
      </c>
      <c r="E232" s="13" t="s">
        <v>61</v>
      </c>
    </row>
    <row r="233" spans="2:5">
      <c r="B233" s="13" t="s">
        <v>62</v>
      </c>
      <c r="C233" s="85" t="str">
        <f>IFERROR(VLOOKUP(B233,[1]字段定义字典!B:I,8,FALSE),"")</f>
        <v>msg</v>
      </c>
      <c r="D233" s="13" t="s">
        <v>43</v>
      </c>
      <c r="E233" s="13" t="s">
        <v>63</v>
      </c>
    </row>
    <row r="234" spans="2:5">
      <c r="B234" s="13" t="s">
        <v>91</v>
      </c>
      <c r="C234" s="85" t="s">
        <v>92</v>
      </c>
      <c r="D234" s="13"/>
      <c r="E234" s="13"/>
    </row>
    <row r="235" spans="2:5">
      <c r="B235" s="13" t="s">
        <v>82</v>
      </c>
      <c r="C235" s="85" t="s">
        <v>83</v>
      </c>
      <c r="D235" s="13" t="s">
        <v>84</v>
      </c>
      <c r="E235" s="13"/>
    </row>
    <row r="236" spans="2:5">
      <c r="B236" s="13"/>
      <c r="C236" s="85" t="s">
        <v>93</v>
      </c>
      <c r="D236" s="13" t="s">
        <v>94</v>
      </c>
      <c r="E236" s="13"/>
    </row>
    <row r="237" spans="2:5">
      <c r="B237" s="13"/>
      <c r="C237" s="85" t="s">
        <v>95</v>
      </c>
      <c r="D237" s="13"/>
      <c r="E237" s="13"/>
    </row>
    <row r="238" spans="2:5">
      <c r="B238" s="13"/>
      <c r="C238" s="85" t="s">
        <v>96</v>
      </c>
      <c r="D238" s="13"/>
      <c r="E238" s="13"/>
    </row>
    <row r="239" spans="2:5">
      <c r="B239" s="13"/>
      <c r="C239" s="85" t="s">
        <v>97</v>
      </c>
      <c r="D239" s="13"/>
      <c r="E239" s="13"/>
    </row>
    <row r="240" spans="2:5">
      <c r="B240" s="13"/>
      <c r="C240" s="85" t="s">
        <v>98</v>
      </c>
      <c r="D240" s="13"/>
      <c r="E240" s="13"/>
    </row>
    <row r="241" spans="2:5">
      <c r="B241" s="13"/>
      <c r="C241" s="85" t="s">
        <v>99</v>
      </c>
      <c r="D241" s="13"/>
      <c r="E241" s="13"/>
    </row>
    <row r="242" spans="2:5">
      <c r="B242" s="86" t="s">
        <v>64</v>
      </c>
      <c r="C242" s="106" t="s">
        <v>100</v>
      </c>
      <c r="D242" s="106"/>
      <c r="E242" s="106"/>
    </row>
  </sheetData>
  <mergeCells count="72">
    <mergeCell ref="C1:E1"/>
    <mergeCell ref="C2:E2"/>
    <mergeCell ref="C3:E3"/>
    <mergeCell ref="C4:E4"/>
    <mergeCell ref="C5:E5"/>
    <mergeCell ref="B6:E6"/>
    <mergeCell ref="C20:E20"/>
    <mergeCell ref="B21:E21"/>
    <mergeCell ref="C26:E26"/>
    <mergeCell ref="C28:E28"/>
    <mergeCell ref="C29:E29"/>
    <mergeCell ref="C30:E30"/>
    <mergeCell ref="C31:E31"/>
    <mergeCell ref="C32:E32"/>
    <mergeCell ref="B33:E33"/>
    <mergeCell ref="C43:E43"/>
    <mergeCell ref="B44:E44"/>
    <mergeCell ref="C49:E49"/>
    <mergeCell ref="C51:E51"/>
    <mergeCell ref="C52:E52"/>
    <mergeCell ref="C53:E53"/>
    <mergeCell ref="C54:E54"/>
    <mergeCell ref="C55:E55"/>
    <mergeCell ref="B56:E56"/>
    <mergeCell ref="C71:E71"/>
    <mergeCell ref="B72:E72"/>
    <mergeCell ref="C77:E77"/>
    <mergeCell ref="C79:E79"/>
    <mergeCell ref="C80:E80"/>
    <mergeCell ref="C81:E81"/>
    <mergeCell ref="C82:E82"/>
    <mergeCell ref="C83:E83"/>
    <mergeCell ref="B84:E84"/>
    <mergeCell ref="C95:E95"/>
    <mergeCell ref="B96:E96"/>
    <mergeCell ref="C102:E102"/>
    <mergeCell ref="C104:E104"/>
    <mergeCell ref="C105:E105"/>
    <mergeCell ref="C106:E106"/>
    <mergeCell ref="C107:E107"/>
    <mergeCell ref="C108:E108"/>
    <mergeCell ref="B109:E109"/>
    <mergeCell ref="C123:E123"/>
    <mergeCell ref="B124:E124"/>
    <mergeCell ref="C136:E136"/>
    <mergeCell ref="C138:E138"/>
    <mergeCell ref="C139:E139"/>
    <mergeCell ref="C140:E140"/>
    <mergeCell ref="C141:E141"/>
    <mergeCell ref="C142:E142"/>
    <mergeCell ref="B143:E143"/>
    <mergeCell ref="C157:E157"/>
    <mergeCell ref="B158:E158"/>
    <mergeCell ref="C170:E170"/>
    <mergeCell ref="C172:E172"/>
    <mergeCell ref="C173:E173"/>
    <mergeCell ref="C174:E174"/>
    <mergeCell ref="C175:E175"/>
    <mergeCell ref="C176:E176"/>
    <mergeCell ref="B177:E177"/>
    <mergeCell ref="C193:E193"/>
    <mergeCell ref="B194:E194"/>
    <mergeCell ref="C206:E206"/>
    <mergeCell ref="C208:E208"/>
    <mergeCell ref="C209:E209"/>
    <mergeCell ref="B230:E230"/>
    <mergeCell ref="C242:E242"/>
    <mergeCell ref="C210:E210"/>
    <mergeCell ref="C211:E211"/>
    <mergeCell ref="C212:E212"/>
    <mergeCell ref="B213:E213"/>
    <mergeCell ref="C229:E229"/>
  </mergeCells>
  <phoneticPr fontId="38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87"/>
  <sheetViews>
    <sheetView workbookViewId="0">
      <pane xSplit="6" ySplit="1" topLeftCell="G2" activePane="bottomRight" state="frozen"/>
      <selection pane="topRight"/>
      <selection pane="bottomLeft"/>
      <selection pane="bottomRight" activeCell="D27" sqref="D27"/>
    </sheetView>
  </sheetViews>
  <sheetFormatPr defaultColWidth="8.875" defaultRowHeight="13.5"/>
  <cols>
    <col min="1" max="1" width="6.875" style="25" customWidth="1"/>
    <col min="2" max="2" width="9.375" style="25" customWidth="1"/>
    <col min="3" max="3" width="14.5" style="25" customWidth="1"/>
    <col min="4" max="4" width="23.25" style="25" customWidth="1"/>
    <col min="5" max="5" width="19.75" style="25" customWidth="1"/>
    <col min="6" max="6" width="31.5" style="28" customWidth="1"/>
    <col min="7" max="7" width="50.25" style="29" customWidth="1"/>
    <col min="8" max="9" width="10.375" style="29" customWidth="1"/>
    <col min="10" max="10" width="10.875" style="29" customWidth="1"/>
    <col min="11" max="11" width="10.5" style="29" customWidth="1"/>
    <col min="12" max="12" width="31.875" style="30" customWidth="1"/>
    <col min="13" max="16384" width="8.875" style="29"/>
  </cols>
  <sheetData>
    <row r="1" spans="1:12" ht="27.75" customHeight="1">
      <c r="A1" s="31" t="s">
        <v>116</v>
      </c>
      <c r="B1" s="32" t="s">
        <v>117</v>
      </c>
      <c r="C1" s="32" t="s">
        <v>118</v>
      </c>
      <c r="D1" s="32" t="s">
        <v>119</v>
      </c>
      <c r="E1" s="32" t="s">
        <v>120</v>
      </c>
      <c r="F1" s="32" t="s">
        <v>28</v>
      </c>
      <c r="G1" s="32" t="s">
        <v>121</v>
      </c>
      <c r="H1" s="32" t="s">
        <v>32</v>
      </c>
      <c r="I1" s="32"/>
      <c r="J1" s="45" t="s">
        <v>122</v>
      </c>
      <c r="K1" s="45" t="s">
        <v>123</v>
      </c>
    </row>
    <row r="2" spans="1:12" s="25" customFormat="1">
      <c r="A2" s="73">
        <v>1</v>
      </c>
      <c r="B2" s="38"/>
      <c r="C2" s="38"/>
      <c r="D2" s="74"/>
      <c r="E2" s="75"/>
      <c r="F2" s="39"/>
      <c r="G2" s="35"/>
      <c r="H2" s="38"/>
      <c r="I2" s="38"/>
      <c r="J2" s="38"/>
      <c r="K2" s="33"/>
      <c r="L2" s="46"/>
    </row>
    <row r="3" spans="1:12" s="25" customFormat="1">
      <c r="A3" s="73">
        <v>2</v>
      </c>
      <c r="B3" s="75"/>
      <c r="C3" s="75"/>
      <c r="D3" s="74"/>
      <c r="E3" s="75"/>
      <c r="F3" s="39"/>
      <c r="G3" s="39"/>
      <c r="H3" s="38"/>
      <c r="I3" s="38"/>
      <c r="J3" s="38"/>
      <c r="K3" s="80"/>
      <c r="L3" s="46"/>
    </row>
    <row r="4" spans="1:12" s="25" customFormat="1">
      <c r="A4" s="73">
        <v>3</v>
      </c>
      <c r="B4" s="75"/>
      <c r="C4" s="75"/>
      <c r="D4" s="74"/>
      <c r="E4" s="75"/>
      <c r="F4" s="39"/>
      <c r="G4" s="76"/>
      <c r="H4" s="38"/>
      <c r="I4" s="38"/>
      <c r="J4" s="38"/>
      <c r="K4" s="33"/>
      <c r="L4" s="46"/>
    </row>
    <row r="5" spans="1:12" s="25" customFormat="1">
      <c r="A5" s="75">
        <v>4</v>
      </c>
      <c r="B5" s="75"/>
      <c r="C5" s="75"/>
      <c r="D5" s="74"/>
      <c r="E5" s="75"/>
      <c r="F5" s="39"/>
      <c r="G5" s="35"/>
      <c r="H5" s="38"/>
      <c r="I5" s="75"/>
      <c r="J5" s="75"/>
      <c r="K5" s="33"/>
      <c r="L5" s="46"/>
    </row>
    <row r="6" spans="1:12" s="25" customFormat="1">
      <c r="A6" s="75">
        <v>5</v>
      </c>
      <c r="B6" s="38"/>
      <c r="C6" s="39"/>
      <c r="D6" s="77"/>
      <c r="E6" s="75"/>
      <c r="F6" s="39"/>
      <c r="G6" s="35"/>
      <c r="H6" s="38"/>
      <c r="I6" s="75"/>
      <c r="J6" s="38"/>
      <c r="K6" s="33"/>
      <c r="L6" s="46"/>
    </row>
    <row r="7" spans="1:12" s="25" customFormat="1">
      <c r="A7" s="73">
        <v>6</v>
      </c>
      <c r="B7" s="75"/>
      <c r="C7" s="75"/>
      <c r="D7" s="74"/>
      <c r="E7" s="75"/>
      <c r="F7" s="39"/>
      <c r="G7" s="35"/>
      <c r="H7" s="38"/>
      <c r="I7" s="38"/>
      <c r="J7" s="38"/>
      <c r="K7" s="33"/>
      <c r="L7" s="46"/>
    </row>
    <row r="8" spans="1:12" s="25" customFormat="1">
      <c r="A8" s="73">
        <v>7</v>
      </c>
      <c r="B8" s="75"/>
      <c r="C8" s="75"/>
      <c r="D8" s="74"/>
      <c r="E8" s="74"/>
      <c r="F8" s="74"/>
      <c r="G8" s="35"/>
      <c r="H8" s="38"/>
      <c r="I8" s="38"/>
      <c r="J8" s="38"/>
      <c r="K8" s="33"/>
      <c r="L8" s="46"/>
    </row>
    <row r="9" spans="1:12" s="25" customFormat="1">
      <c r="A9" s="73">
        <v>8</v>
      </c>
      <c r="B9" s="75"/>
      <c r="C9" s="75"/>
      <c r="D9" s="75"/>
      <c r="E9" s="75"/>
      <c r="F9" s="75"/>
      <c r="G9" s="35"/>
      <c r="H9" s="38"/>
      <c r="I9" s="38"/>
      <c r="J9" s="38"/>
      <c r="K9" s="33"/>
      <c r="L9" s="46"/>
    </row>
    <row r="10" spans="1:12" s="25" customFormat="1">
      <c r="A10" s="73">
        <v>9</v>
      </c>
      <c r="B10" s="75"/>
      <c r="C10" s="75"/>
      <c r="D10" s="75"/>
      <c r="E10" s="75"/>
      <c r="F10" s="39"/>
      <c r="G10" s="76"/>
      <c r="H10" s="38"/>
      <c r="I10" s="38"/>
      <c r="J10" s="38"/>
      <c r="K10" s="33"/>
      <c r="L10" s="46"/>
    </row>
    <row r="11" spans="1:12" s="25" customFormat="1">
      <c r="A11" s="73">
        <v>10</v>
      </c>
      <c r="B11" s="75"/>
      <c r="C11" s="75"/>
      <c r="D11" s="75"/>
      <c r="E11" s="75"/>
      <c r="F11" s="39"/>
      <c r="G11" s="76"/>
      <c r="H11" s="38"/>
      <c r="I11" s="38"/>
      <c r="J11" s="38"/>
      <c r="K11" s="33"/>
      <c r="L11" s="46"/>
    </row>
    <row r="12" spans="1:12" s="25" customFormat="1">
      <c r="A12" s="73">
        <v>11</v>
      </c>
      <c r="B12" s="75"/>
      <c r="C12" s="75"/>
      <c r="D12" s="75"/>
      <c r="E12" s="75"/>
      <c r="F12" s="39"/>
      <c r="G12" s="76"/>
      <c r="H12" s="38"/>
      <c r="I12" s="38"/>
      <c r="J12" s="38"/>
      <c r="K12" s="33"/>
      <c r="L12" s="46"/>
    </row>
    <row r="13" spans="1:12" s="25" customFormat="1">
      <c r="A13" s="73">
        <v>12</v>
      </c>
      <c r="B13" s="75"/>
      <c r="C13" s="75"/>
      <c r="D13" s="75"/>
      <c r="E13" s="75"/>
      <c r="F13" s="39"/>
      <c r="G13" s="76"/>
      <c r="H13" s="38"/>
      <c r="I13" s="38"/>
      <c r="J13" s="38"/>
      <c r="K13" s="31"/>
      <c r="L13" s="46"/>
    </row>
    <row r="14" spans="1:12" s="25" customFormat="1">
      <c r="A14" s="73">
        <v>13</v>
      </c>
      <c r="B14" s="75"/>
      <c r="C14" s="75"/>
      <c r="D14" s="75"/>
      <c r="E14" s="75"/>
      <c r="F14" s="39"/>
      <c r="G14" s="76"/>
      <c r="H14" s="38"/>
      <c r="I14" s="38"/>
      <c r="J14" s="38"/>
      <c r="K14" s="33"/>
      <c r="L14" s="46"/>
    </row>
    <row r="15" spans="1:12" s="25" customFormat="1">
      <c r="A15" s="73">
        <v>14</v>
      </c>
      <c r="B15" s="75"/>
      <c r="C15" s="75"/>
      <c r="D15" s="75"/>
      <c r="E15" s="75"/>
      <c r="F15" s="39"/>
      <c r="G15" s="76"/>
      <c r="H15" s="38"/>
      <c r="I15" s="38"/>
      <c r="J15" s="38"/>
      <c r="K15" s="31"/>
      <c r="L15" s="46"/>
    </row>
    <row r="16" spans="1:12" s="25" customFormat="1">
      <c r="A16" s="73">
        <v>15</v>
      </c>
      <c r="B16" s="75"/>
      <c r="C16" s="75"/>
      <c r="D16" s="75"/>
      <c r="E16" s="75"/>
      <c r="F16" s="39"/>
      <c r="G16" s="76"/>
      <c r="H16" s="38"/>
      <c r="I16" s="38"/>
      <c r="J16" s="38"/>
      <c r="K16" s="31"/>
      <c r="L16" s="46"/>
    </row>
    <row r="17" spans="1:12" s="25" customFormat="1">
      <c r="A17" s="73">
        <v>16</v>
      </c>
      <c r="B17" s="75"/>
      <c r="C17" s="75"/>
      <c r="D17" s="75"/>
      <c r="E17" s="75"/>
      <c r="F17" s="39"/>
      <c r="G17" s="76"/>
      <c r="H17" s="38"/>
      <c r="I17" s="38"/>
      <c r="J17" s="38"/>
      <c r="K17" s="33"/>
      <c r="L17" s="46"/>
    </row>
    <row r="18" spans="1:12" s="25" customFormat="1">
      <c r="A18" s="73">
        <v>17</v>
      </c>
      <c r="B18" s="75"/>
      <c r="C18" s="75"/>
      <c r="D18" s="75"/>
      <c r="E18" s="75"/>
      <c r="F18" s="39"/>
      <c r="G18" s="76"/>
      <c r="H18" s="38"/>
      <c r="I18" s="38"/>
      <c r="J18" s="38"/>
      <c r="K18" s="31"/>
      <c r="L18" s="46"/>
    </row>
    <row r="19" spans="1:12" s="25" customFormat="1">
      <c r="A19" s="73">
        <v>18</v>
      </c>
      <c r="B19" s="75"/>
      <c r="C19" s="75"/>
      <c r="D19" s="75"/>
      <c r="E19" s="75"/>
      <c r="F19" s="39"/>
      <c r="G19" s="76"/>
      <c r="H19" s="38"/>
      <c r="I19" s="38"/>
      <c r="J19" s="38"/>
      <c r="K19" s="31"/>
      <c r="L19" s="46"/>
    </row>
    <row r="20" spans="1:12" s="25" customFormat="1">
      <c r="A20" s="73">
        <v>19</v>
      </c>
      <c r="B20" s="75"/>
      <c r="C20" s="75"/>
      <c r="D20" s="75"/>
      <c r="E20" s="75"/>
      <c r="F20" s="39"/>
      <c r="G20" s="76"/>
      <c r="H20" s="38"/>
      <c r="I20" s="38"/>
      <c r="J20" s="38"/>
      <c r="K20" s="33"/>
      <c r="L20" s="46"/>
    </row>
    <row r="21" spans="1:12" s="25" customFormat="1">
      <c r="A21" s="73">
        <v>20</v>
      </c>
      <c r="B21" s="75"/>
      <c r="C21" s="75"/>
      <c r="D21" s="75"/>
      <c r="E21" s="75"/>
      <c r="F21" s="39"/>
      <c r="G21" s="35"/>
      <c r="H21" s="38"/>
      <c r="I21" s="38"/>
      <c r="J21" s="38"/>
      <c r="K21" s="33"/>
      <c r="L21" s="46"/>
    </row>
    <row r="22" spans="1:12" s="25" customFormat="1">
      <c r="A22" s="73">
        <v>21</v>
      </c>
      <c r="B22" s="75"/>
      <c r="C22" s="75"/>
      <c r="D22" s="75"/>
      <c r="E22" s="75"/>
      <c r="F22" s="39"/>
      <c r="G22" s="35"/>
      <c r="H22" s="38"/>
      <c r="I22" s="38"/>
      <c r="J22" s="38"/>
      <c r="K22" s="33"/>
      <c r="L22" s="46"/>
    </row>
    <row r="23" spans="1:12" s="25" customFormat="1">
      <c r="A23" s="73">
        <v>22</v>
      </c>
      <c r="B23" s="75"/>
      <c r="C23" s="75"/>
      <c r="D23" s="75"/>
      <c r="E23" s="75"/>
      <c r="F23" s="39"/>
      <c r="G23" s="76"/>
      <c r="H23" s="38"/>
      <c r="I23" s="38"/>
      <c r="J23" s="38"/>
      <c r="K23" s="33"/>
      <c r="L23" s="46"/>
    </row>
    <row r="24" spans="1:12" s="25" customFormat="1">
      <c r="A24" s="73">
        <v>23</v>
      </c>
      <c r="B24" s="75"/>
      <c r="C24" s="75"/>
      <c r="D24" s="75"/>
      <c r="E24" s="75"/>
      <c r="F24" s="39"/>
      <c r="G24" s="76"/>
      <c r="H24" s="38"/>
      <c r="I24" s="38"/>
      <c r="J24" s="38"/>
      <c r="K24" s="33"/>
      <c r="L24" s="46"/>
    </row>
    <row r="25" spans="1:12" s="25" customFormat="1">
      <c r="A25" s="73">
        <v>24</v>
      </c>
      <c r="B25" s="75"/>
      <c r="C25" s="75"/>
      <c r="D25" s="75"/>
      <c r="E25" s="75"/>
      <c r="F25" s="39"/>
      <c r="G25" s="76"/>
      <c r="H25" s="38"/>
      <c r="I25" s="38"/>
      <c r="J25" s="38"/>
      <c r="K25" s="33"/>
      <c r="L25" s="46"/>
    </row>
    <row r="26" spans="1:12" s="25" customFormat="1">
      <c r="A26" s="73">
        <v>25</v>
      </c>
      <c r="B26" s="75"/>
      <c r="C26" s="75"/>
      <c r="D26" s="75"/>
      <c r="E26" s="75"/>
      <c r="F26" s="39"/>
      <c r="G26" s="76"/>
      <c r="H26" s="38"/>
      <c r="I26" s="38"/>
      <c r="J26" s="38"/>
      <c r="K26" s="33"/>
      <c r="L26" s="46"/>
    </row>
    <row r="27" spans="1:12" s="25" customFormat="1">
      <c r="A27" s="73">
        <v>26</v>
      </c>
      <c r="B27" s="75"/>
      <c r="C27" s="75"/>
      <c r="D27" s="75"/>
      <c r="E27" s="75"/>
      <c r="F27" s="39"/>
      <c r="G27" s="76"/>
      <c r="H27" s="38"/>
      <c r="I27" s="38"/>
      <c r="J27" s="38"/>
      <c r="K27" s="33"/>
      <c r="L27" s="46"/>
    </row>
    <row r="28" spans="1:12" s="25" customFormat="1">
      <c r="A28" s="73">
        <v>27</v>
      </c>
      <c r="B28" s="75"/>
      <c r="C28" s="75"/>
      <c r="D28" s="75"/>
      <c r="E28" s="75"/>
      <c r="F28" s="39"/>
      <c r="G28" s="76"/>
      <c r="H28" s="38"/>
      <c r="I28" s="38"/>
      <c r="J28" s="38"/>
      <c r="K28" s="33"/>
      <c r="L28" s="46"/>
    </row>
    <row r="29" spans="1:12" s="25" customFormat="1">
      <c r="A29" s="73">
        <v>28</v>
      </c>
      <c r="B29" s="75"/>
      <c r="C29" s="75"/>
      <c r="D29" s="75"/>
      <c r="E29" s="75"/>
      <c r="F29" s="39"/>
      <c r="G29" s="76"/>
      <c r="H29" s="38"/>
      <c r="I29" s="38"/>
      <c r="J29" s="38"/>
      <c r="K29" s="33"/>
      <c r="L29" s="46"/>
    </row>
    <row r="30" spans="1:12" s="25" customFormat="1">
      <c r="A30" s="73">
        <v>29</v>
      </c>
      <c r="B30" s="75"/>
      <c r="C30" s="75"/>
      <c r="D30" s="75"/>
      <c r="E30" s="75"/>
      <c r="F30" s="39"/>
      <c r="G30" s="76"/>
      <c r="H30" s="38"/>
      <c r="I30" s="38"/>
      <c r="J30" s="38"/>
      <c r="K30" s="33"/>
      <c r="L30" s="46"/>
    </row>
    <row r="31" spans="1:12" s="26" customFormat="1">
      <c r="A31" s="73">
        <v>30</v>
      </c>
      <c r="B31" s="75"/>
      <c r="C31" s="75"/>
      <c r="D31" s="75"/>
      <c r="E31" s="75"/>
      <c r="F31" s="39"/>
      <c r="G31" s="76"/>
      <c r="H31" s="38"/>
      <c r="I31" s="38"/>
      <c r="J31" s="38"/>
      <c r="K31" s="33"/>
      <c r="L31" s="47"/>
    </row>
    <row r="32" spans="1:12" s="25" customFormat="1">
      <c r="A32" s="73">
        <v>31</v>
      </c>
      <c r="B32" s="75"/>
      <c r="C32" s="75"/>
      <c r="D32" s="75"/>
      <c r="E32" s="75"/>
      <c r="F32" s="39"/>
      <c r="G32" s="78"/>
      <c r="H32" s="48"/>
      <c r="I32" s="38"/>
      <c r="J32" s="38"/>
      <c r="K32" s="33"/>
      <c r="L32" s="46"/>
    </row>
    <row r="33" spans="1:12" s="25" customFormat="1">
      <c r="A33" s="73">
        <v>32</v>
      </c>
      <c r="B33" s="75"/>
      <c r="C33" s="75"/>
      <c r="D33" s="75"/>
      <c r="E33" s="75"/>
      <c r="F33" s="39"/>
      <c r="G33" s="78"/>
      <c r="H33" s="38"/>
      <c r="I33" s="38"/>
      <c r="J33" s="38"/>
      <c r="K33" s="33"/>
      <c r="L33" s="46"/>
    </row>
    <row r="34" spans="1:12" s="27" customFormat="1">
      <c r="A34" s="73">
        <v>33</v>
      </c>
      <c r="B34" s="75"/>
      <c r="C34" s="75"/>
      <c r="D34" s="75"/>
      <c r="E34" s="75"/>
      <c r="F34" s="39"/>
      <c r="G34" s="78"/>
      <c r="H34" s="38"/>
      <c r="I34" s="48"/>
      <c r="J34" s="48"/>
      <c r="K34" s="49"/>
      <c r="L34" s="50"/>
    </row>
    <row r="35" spans="1:12" s="25" customFormat="1">
      <c r="A35" s="73">
        <v>34</v>
      </c>
      <c r="B35" s="75"/>
      <c r="C35" s="75"/>
      <c r="D35" s="75"/>
      <c r="E35" s="75"/>
      <c r="F35" s="39"/>
      <c r="G35" s="78"/>
      <c r="H35" s="38"/>
      <c r="I35" s="38"/>
      <c r="J35" s="38"/>
      <c r="K35" s="33"/>
      <c r="L35" s="46"/>
    </row>
    <row r="36" spans="1:12" s="25" customFormat="1">
      <c r="A36" s="73">
        <v>35</v>
      </c>
      <c r="B36" s="75"/>
      <c r="C36" s="75"/>
      <c r="D36" s="75"/>
      <c r="E36" s="75"/>
      <c r="F36" s="39"/>
      <c r="G36" s="78"/>
      <c r="H36" s="38"/>
      <c r="I36" s="38"/>
      <c r="J36" s="38"/>
      <c r="K36" s="33"/>
      <c r="L36" s="46"/>
    </row>
    <row r="37" spans="1:12" s="25" customFormat="1">
      <c r="A37" s="73">
        <v>36</v>
      </c>
      <c r="B37" s="75"/>
      <c r="C37" s="75"/>
      <c r="D37" s="75"/>
      <c r="E37" s="75"/>
      <c r="F37" s="39"/>
      <c r="G37" s="78"/>
      <c r="H37" s="38"/>
      <c r="I37" s="38"/>
      <c r="J37" s="38"/>
      <c r="K37" s="33"/>
      <c r="L37" s="46"/>
    </row>
    <row r="38" spans="1:12" s="25" customFormat="1">
      <c r="A38" s="73">
        <v>37</v>
      </c>
      <c r="B38" s="75"/>
      <c r="C38" s="75"/>
      <c r="D38" s="75"/>
      <c r="E38" s="75"/>
      <c r="F38" s="39"/>
      <c r="G38" s="78"/>
      <c r="H38" s="38"/>
      <c r="I38" s="38"/>
      <c r="J38" s="38"/>
      <c r="K38" s="33"/>
      <c r="L38" s="46"/>
    </row>
    <row r="39" spans="1:12" s="25" customFormat="1">
      <c r="A39" s="73">
        <v>38</v>
      </c>
      <c r="B39" s="75"/>
      <c r="C39" s="75"/>
      <c r="D39" s="75"/>
      <c r="E39" s="75"/>
      <c r="F39" s="39"/>
      <c r="G39" s="78"/>
      <c r="H39" s="38"/>
      <c r="I39" s="38"/>
      <c r="J39" s="38"/>
      <c r="K39" s="33"/>
      <c r="L39" s="46"/>
    </row>
    <row r="40" spans="1:12" s="25" customFormat="1">
      <c r="A40" s="73">
        <v>39</v>
      </c>
      <c r="B40" s="75"/>
      <c r="C40" s="75"/>
      <c r="D40" s="75"/>
      <c r="E40" s="75"/>
      <c r="F40" s="39"/>
      <c r="G40" s="78"/>
      <c r="H40" s="38"/>
      <c r="I40" s="38"/>
      <c r="J40" s="38"/>
      <c r="K40" s="33"/>
      <c r="L40" s="46"/>
    </row>
    <row r="41" spans="1:12" s="25" customFormat="1">
      <c r="A41" s="73">
        <v>40</v>
      </c>
      <c r="B41" s="75"/>
      <c r="C41" s="75"/>
      <c r="D41" s="75"/>
      <c r="E41" s="75"/>
      <c r="F41" s="39"/>
      <c r="G41" s="78"/>
      <c r="H41" s="38"/>
      <c r="I41" s="38"/>
      <c r="J41" s="38"/>
      <c r="K41" s="33"/>
      <c r="L41" s="46"/>
    </row>
    <row r="42" spans="1:12" s="25" customFormat="1">
      <c r="A42" s="73">
        <v>41</v>
      </c>
      <c r="B42" s="75"/>
      <c r="C42" s="75"/>
      <c r="D42" s="75"/>
      <c r="E42" s="75"/>
      <c r="F42" s="39"/>
      <c r="G42" s="78"/>
      <c r="H42" s="38"/>
      <c r="I42" s="38"/>
      <c r="J42" s="38"/>
      <c r="K42" s="33"/>
      <c r="L42" s="46"/>
    </row>
    <row r="43" spans="1:12" s="25" customFormat="1">
      <c r="A43" s="73">
        <v>42</v>
      </c>
      <c r="B43" s="75"/>
      <c r="C43" s="75"/>
      <c r="D43" s="75"/>
      <c r="E43" s="75"/>
      <c r="F43" s="39"/>
      <c r="G43" s="78"/>
      <c r="H43" s="38"/>
      <c r="I43" s="38"/>
      <c r="J43" s="38"/>
      <c r="K43" s="33"/>
      <c r="L43" s="46"/>
    </row>
    <row r="44" spans="1:12" s="25" customFormat="1">
      <c r="A44" s="73">
        <v>43</v>
      </c>
      <c r="B44" s="75"/>
      <c r="C44" s="75"/>
      <c r="D44" s="75"/>
      <c r="E44" s="75"/>
      <c r="F44" s="39"/>
      <c r="G44" s="78"/>
      <c r="H44" s="38"/>
      <c r="I44" s="38"/>
      <c r="J44" s="38"/>
      <c r="K44" s="33"/>
      <c r="L44" s="46"/>
    </row>
    <row r="45" spans="1:12" s="25" customFormat="1">
      <c r="A45" s="73">
        <v>44</v>
      </c>
      <c r="B45" s="75"/>
      <c r="C45" s="75"/>
      <c r="D45" s="75"/>
      <c r="E45" s="75"/>
      <c r="F45" s="39"/>
      <c r="G45" s="78"/>
      <c r="H45" s="38"/>
      <c r="I45" s="38"/>
      <c r="J45" s="38"/>
      <c r="K45" s="33"/>
      <c r="L45" s="46"/>
    </row>
    <row r="46" spans="1:12" s="25" customFormat="1">
      <c r="A46" s="73">
        <v>45</v>
      </c>
      <c r="B46" s="75"/>
      <c r="C46" s="75"/>
      <c r="D46" s="75"/>
      <c r="E46" s="75"/>
      <c r="F46" s="39"/>
      <c r="G46" s="78"/>
      <c r="H46" s="38"/>
      <c r="I46" s="38"/>
      <c r="J46" s="38"/>
      <c r="K46" s="33"/>
      <c r="L46" s="46"/>
    </row>
    <row r="47" spans="1:12" s="25" customFormat="1">
      <c r="A47" s="73">
        <v>46</v>
      </c>
      <c r="B47" s="75"/>
      <c r="C47" s="75"/>
      <c r="D47" s="75"/>
      <c r="E47" s="75"/>
      <c r="F47" s="39"/>
      <c r="G47" s="76"/>
      <c r="H47" s="38"/>
      <c r="I47" s="38"/>
      <c r="J47" s="38"/>
      <c r="K47" s="33"/>
      <c r="L47" s="46"/>
    </row>
    <row r="48" spans="1:12" s="25" customFormat="1">
      <c r="A48" s="73">
        <v>47</v>
      </c>
      <c r="B48" s="75"/>
      <c r="C48" s="75"/>
      <c r="D48" s="75"/>
      <c r="E48" s="75"/>
      <c r="F48" s="39"/>
      <c r="G48" s="76"/>
      <c r="H48" s="38"/>
      <c r="I48" s="38"/>
      <c r="J48" s="38"/>
      <c r="K48" s="33"/>
      <c r="L48" s="46"/>
    </row>
    <row r="49" spans="1:12" s="25" customFormat="1">
      <c r="A49" s="73">
        <v>48</v>
      </c>
      <c r="B49" s="75"/>
      <c r="C49" s="75"/>
      <c r="D49" s="75"/>
      <c r="E49" s="75"/>
      <c r="F49" s="39"/>
      <c r="G49" s="76"/>
      <c r="H49" s="38"/>
      <c r="I49" s="38"/>
      <c r="J49" s="38"/>
      <c r="K49" s="33"/>
      <c r="L49" s="46"/>
    </row>
    <row r="50" spans="1:12" s="25" customFormat="1">
      <c r="A50" s="73">
        <v>49</v>
      </c>
      <c r="B50" s="75"/>
      <c r="C50" s="75"/>
      <c r="D50" s="75"/>
      <c r="E50" s="75"/>
      <c r="F50" s="39"/>
      <c r="G50" s="76"/>
      <c r="H50" s="38"/>
      <c r="I50" s="38"/>
      <c r="J50" s="38"/>
      <c r="K50" s="33"/>
      <c r="L50" s="46"/>
    </row>
    <row r="51" spans="1:12" s="25" customFormat="1">
      <c r="A51" s="73">
        <v>50</v>
      </c>
      <c r="B51" s="75"/>
      <c r="C51" s="75"/>
      <c r="D51" s="75"/>
      <c r="E51" s="75"/>
      <c r="F51" s="39"/>
      <c r="G51" s="76"/>
      <c r="H51" s="38"/>
      <c r="I51" s="38"/>
      <c r="J51" s="38"/>
      <c r="K51" s="33"/>
      <c r="L51" s="46"/>
    </row>
    <row r="52" spans="1:12" s="25" customFormat="1">
      <c r="A52" s="73">
        <v>51</v>
      </c>
      <c r="B52" s="75"/>
      <c r="C52" s="75"/>
      <c r="D52" s="75"/>
      <c r="E52" s="75"/>
      <c r="F52" s="39"/>
      <c r="G52" s="76"/>
      <c r="H52" s="38"/>
      <c r="I52" s="38"/>
      <c r="J52" s="38"/>
      <c r="K52" s="33"/>
      <c r="L52" s="46"/>
    </row>
    <row r="53" spans="1:12" s="25" customFormat="1">
      <c r="A53" s="73">
        <v>52</v>
      </c>
      <c r="B53" s="75"/>
      <c r="C53" s="75"/>
      <c r="D53" s="75"/>
      <c r="E53" s="75"/>
      <c r="F53" s="39"/>
      <c r="G53" s="76"/>
      <c r="H53" s="38"/>
      <c r="I53" s="38"/>
      <c r="J53" s="38"/>
      <c r="K53" s="33"/>
      <c r="L53" s="46"/>
    </row>
    <row r="54" spans="1:12" s="25" customFormat="1">
      <c r="A54" s="73">
        <v>53</v>
      </c>
      <c r="B54" s="75"/>
      <c r="C54" s="75"/>
      <c r="D54" s="75"/>
      <c r="E54" s="75"/>
      <c r="F54" s="39"/>
      <c r="G54" s="76"/>
      <c r="H54" s="38"/>
      <c r="I54" s="38"/>
      <c r="J54" s="38"/>
      <c r="K54" s="33"/>
      <c r="L54" s="46"/>
    </row>
    <row r="55" spans="1:12" s="25" customFormat="1">
      <c r="A55" s="73">
        <v>54</v>
      </c>
      <c r="B55" s="75"/>
      <c r="C55" s="75"/>
      <c r="D55" s="75"/>
      <c r="E55" s="75"/>
      <c r="F55" s="39"/>
      <c r="G55" s="76"/>
      <c r="H55" s="38"/>
      <c r="I55" s="38"/>
      <c r="J55" s="38"/>
      <c r="K55" s="33"/>
      <c r="L55" s="46"/>
    </row>
    <row r="56" spans="1:12" s="25" customFormat="1">
      <c r="A56" s="73">
        <v>55</v>
      </c>
      <c r="B56" s="75"/>
      <c r="C56" s="75"/>
      <c r="D56" s="75"/>
      <c r="E56" s="75"/>
      <c r="F56" s="39"/>
      <c r="G56" s="76"/>
      <c r="H56" s="38"/>
      <c r="I56" s="38"/>
      <c r="J56" s="38"/>
      <c r="K56" s="33"/>
      <c r="L56" s="46"/>
    </row>
    <row r="57" spans="1:12" s="25" customFormat="1">
      <c r="A57" s="73">
        <v>56</v>
      </c>
      <c r="B57" s="75"/>
      <c r="C57" s="75"/>
      <c r="D57" s="75"/>
      <c r="E57" s="75"/>
      <c r="F57" s="39"/>
      <c r="G57" s="76"/>
      <c r="H57" s="38"/>
      <c r="I57" s="38"/>
      <c r="J57" s="38"/>
      <c r="K57" s="33"/>
      <c r="L57" s="46"/>
    </row>
    <row r="58" spans="1:12" s="25" customFormat="1">
      <c r="A58" s="73">
        <v>57</v>
      </c>
      <c r="B58" s="75"/>
      <c r="C58" s="75"/>
      <c r="D58" s="75"/>
      <c r="E58" s="75"/>
      <c r="F58" s="39"/>
      <c r="G58" s="76"/>
      <c r="H58" s="38"/>
      <c r="I58" s="38"/>
      <c r="J58" s="38"/>
      <c r="K58" s="33"/>
      <c r="L58" s="46"/>
    </row>
    <row r="59" spans="1:12" s="25" customFormat="1">
      <c r="A59" s="73">
        <v>58</v>
      </c>
      <c r="B59" s="75"/>
      <c r="C59" s="75"/>
      <c r="D59" s="75"/>
      <c r="E59" s="75"/>
      <c r="F59" s="39"/>
      <c r="G59" s="79"/>
      <c r="H59" s="44"/>
      <c r="I59" s="38"/>
      <c r="J59" s="38"/>
      <c r="K59" s="33"/>
      <c r="L59" s="46"/>
    </row>
    <row r="60" spans="1:12" s="25" customFormat="1">
      <c r="A60" s="73">
        <v>59</v>
      </c>
      <c r="B60" s="75"/>
      <c r="C60" s="75"/>
      <c r="D60" s="75"/>
      <c r="E60" s="75"/>
      <c r="F60" s="39"/>
      <c r="G60" s="76"/>
      <c r="H60" s="38"/>
      <c r="I60" s="38"/>
      <c r="J60" s="38"/>
      <c r="K60" s="33"/>
      <c r="L60" s="46"/>
    </row>
    <row r="61" spans="1:12" s="26" customFormat="1">
      <c r="A61" s="73">
        <v>60</v>
      </c>
      <c r="B61" s="75"/>
      <c r="C61" s="75"/>
      <c r="D61" s="75"/>
      <c r="E61" s="75"/>
      <c r="F61" s="39"/>
      <c r="G61" s="76"/>
      <c r="H61" s="38"/>
      <c r="I61" s="44"/>
      <c r="J61" s="44"/>
      <c r="K61" s="51"/>
      <c r="L61" s="47"/>
    </row>
    <row r="62" spans="1:12" s="25" customFormat="1">
      <c r="A62" s="73">
        <v>61</v>
      </c>
      <c r="B62" s="75"/>
      <c r="C62" s="75"/>
      <c r="D62" s="75"/>
      <c r="E62" s="75"/>
      <c r="F62" s="39"/>
      <c r="G62" s="76"/>
      <c r="H62" s="38"/>
      <c r="I62" s="38"/>
      <c r="J62" s="38"/>
      <c r="K62" s="33"/>
      <c r="L62" s="46"/>
    </row>
    <row r="63" spans="1:12" s="25" customFormat="1">
      <c r="A63" s="73">
        <v>62</v>
      </c>
      <c r="B63" s="75"/>
      <c r="C63" s="75"/>
      <c r="D63" s="75"/>
      <c r="E63" s="75"/>
      <c r="F63" s="39"/>
      <c r="G63" s="76"/>
      <c r="H63" s="38"/>
      <c r="I63" s="38"/>
      <c r="J63" s="38"/>
      <c r="K63" s="33"/>
      <c r="L63" s="46"/>
    </row>
    <row r="64" spans="1:12" s="25" customFormat="1">
      <c r="A64" s="73">
        <v>63</v>
      </c>
      <c r="B64" s="75"/>
      <c r="C64" s="75"/>
      <c r="D64" s="75"/>
      <c r="E64" s="75"/>
      <c r="F64" s="39"/>
      <c r="G64" s="76"/>
      <c r="H64" s="38"/>
      <c r="I64" s="38"/>
      <c r="J64" s="38"/>
      <c r="K64" s="33"/>
      <c r="L64" s="46"/>
    </row>
    <row r="65" spans="1:12" s="25" customFormat="1">
      <c r="A65" s="73">
        <v>64</v>
      </c>
      <c r="B65" s="75"/>
      <c r="C65" s="75"/>
      <c r="D65" s="75"/>
      <c r="E65" s="75"/>
      <c r="F65" s="39"/>
      <c r="G65" s="76"/>
      <c r="H65" s="38"/>
      <c r="I65" s="38"/>
      <c r="J65" s="38"/>
      <c r="K65" s="33"/>
      <c r="L65" s="46"/>
    </row>
    <row r="66" spans="1:12" s="25" customFormat="1">
      <c r="A66" s="73">
        <v>65</v>
      </c>
      <c r="B66" s="75"/>
      <c r="C66" s="75"/>
      <c r="D66" s="75"/>
      <c r="E66" s="75"/>
      <c r="F66" s="39"/>
      <c r="G66" s="76"/>
      <c r="H66" s="38"/>
      <c r="I66" s="38"/>
      <c r="J66" s="38"/>
      <c r="K66" s="33"/>
      <c r="L66" s="46"/>
    </row>
    <row r="67" spans="1:12" s="25" customFormat="1">
      <c r="A67" s="73">
        <v>66</v>
      </c>
      <c r="B67" s="75"/>
      <c r="C67" s="75"/>
      <c r="D67" s="75"/>
      <c r="E67" s="75"/>
      <c r="F67" s="39"/>
      <c r="G67" s="76"/>
      <c r="H67" s="38"/>
      <c r="I67" s="38"/>
      <c r="J67" s="38"/>
      <c r="K67" s="33"/>
      <c r="L67" s="46"/>
    </row>
    <row r="68" spans="1:12" s="25" customFormat="1">
      <c r="A68" s="73">
        <v>67</v>
      </c>
      <c r="B68" s="75"/>
      <c r="C68" s="75"/>
      <c r="D68" s="75"/>
      <c r="E68" s="75"/>
      <c r="F68" s="39"/>
      <c r="G68" s="76"/>
      <c r="H68" s="38"/>
      <c r="I68" s="38"/>
      <c r="J68" s="38"/>
      <c r="K68" s="33"/>
      <c r="L68" s="46"/>
    </row>
    <row r="69" spans="1:12" s="25" customFormat="1">
      <c r="A69" s="73">
        <v>68</v>
      </c>
      <c r="B69" s="75"/>
      <c r="C69" s="75"/>
      <c r="D69" s="75"/>
      <c r="E69" s="75"/>
      <c r="F69" s="39"/>
      <c r="G69" s="76"/>
      <c r="H69" s="38"/>
      <c r="I69" s="38"/>
      <c r="J69" s="38"/>
      <c r="K69" s="33"/>
      <c r="L69" s="46"/>
    </row>
    <row r="70" spans="1:12" s="25" customFormat="1">
      <c r="A70" s="73">
        <v>69</v>
      </c>
      <c r="B70" s="75"/>
      <c r="C70" s="75"/>
      <c r="D70" s="75"/>
      <c r="E70" s="75"/>
      <c r="F70" s="39"/>
      <c r="G70" s="76"/>
      <c r="H70" s="38"/>
      <c r="I70" s="38"/>
      <c r="J70" s="38"/>
      <c r="K70" s="33"/>
      <c r="L70" s="46"/>
    </row>
    <row r="71" spans="1:12" s="25" customFormat="1">
      <c r="A71" s="73">
        <v>70</v>
      </c>
      <c r="B71" s="75"/>
      <c r="C71" s="75"/>
      <c r="D71" s="75"/>
      <c r="E71" s="75"/>
      <c r="F71" s="39"/>
      <c r="G71" s="81"/>
      <c r="H71" s="38"/>
      <c r="I71" s="38"/>
      <c r="J71" s="38"/>
      <c r="K71" s="33"/>
      <c r="L71" s="46"/>
    </row>
    <row r="72" spans="1:12" s="25" customFormat="1">
      <c r="A72" s="73">
        <v>71</v>
      </c>
      <c r="B72" s="75"/>
      <c r="C72" s="75"/>
      <c r="D72" s="75"/>
      <c r="E72" s="75"/>
      <c r="F72" s="39"/>
      <c r="G72" s="76"/>
      <c r="H72" s="38"/>
      <c r="I72" s="38"/>
      <c r="J72" s="38"/>
      <c r="K72" s="33"/>
      <c r="L72" s="46"/>
    </row>
    <row r="73" spans="1:12" s="25" customFormat="1">
      <c r="A73" s="73">
        <v>72</v>
      </c>
      <c r="B73" s="75"/>
      <c r="C73" s="75"/>
      <c r="D73" s="75"/>
      <c r="E73" s="75"/>
      <c r="F73" s="39"/>
      <c r="G73" s="79"/>
      <c r="H73" s="38"/>
      <c r="I73" s="38"/>
      <c r="J73" s="38"/>
      <c r="K73" s="33"/>
      <c r="L73" s="46"/>
    </row>
    <row r="74" spans="1:12" s="25" customFormat="1">
      <c r="A74" s="73">
        <v>73</v>
      </c>
      <c r="B74" s="75"/>
      <c r="C74" s="75"/>
      <c r="D74" s="75"/>
      <c r="E74" s="75"/>
      <c r="F74" s="39"/>
      <c r="G74" s="76"/>
      <c r="H74" s="38"/>
      <c r="I74" s="38"/>
      <c r="J74" s="38"/>
      <c r="K74" s="33"/>
      <c r="L74" s="46"/>
    </row>
    <row r="75" spans="1:12" s="25" customFormat="1">
      <c r="A75" s="73">
        <v>74</v>
      </c>
      <c r="B75" s="75"/>
      <c r="C75" s="75"/>
      <c r="D75" s="75"/>
      <c r="E75" s="75"/>
      <c r="F75" s="39"/>
      <c r="G75" s="76"/>
      <c r="H75" s="38"/>
      <c r="I75" s="38"/>
      <c r="J75" s="38"/>
      <c r="K75" s="33"/>
      <c r="L75" s="46"/>
    </row>
    <row r="76" spans="1:12" s="25" customFormat="1">
      <c r="A76" s="73">
        <v>75</v>
      </c>
      <c r="B76" s="75"/>
      <c r="C76" s="75"/>
      <c r="D76" s="75"/>
      <c r="E76" s="75"/>
      <c r="F76" s="39"/>
      <c r="G76" s="76"/>
      <c r="H76" s="38"/>
      <c r="I76" s="38"/>
      <c r="J76" s="38"/>
      <c r="K76" s="33"/>
      <c r="L76" s="46"/>
    </row>
    <row r="77" spans="1:12" s="25" customFormat="1">
      <c r="A77" s="73">
        <v>76</v>
      </c>
      <c r="B77" s="75"/>
      <c r="C77" s="75"/>
      <c r="D77" s="75"/>
      <c r="E77" s="75"/>
      <c r="F77" s="39"/>
      <c r="G77" s="76"/>
      <c r="H77" s="38"/>
      <c r="I77" s="38"/>
      <c r="J77" s="38"/>
      <c r="K77" s="33"/>
      <c r="L77" s="46"/>
    </row>
    <row r="78" spans="1:12" s="25" customFormat="1">
      <c r="A78" s="73">
        <v>77</v>
      </c>
      <c r="B78" s="75"/>
      <c r="C78" s="75"/>
      <c r="D78" s="75"/>
      <c r="E78" s="75"/>
      <c r="F78" s="39"/>
      <c r="G78" s="76"/>
      <c r="H78" s="38"/>
      <c r="I78" s="38"/>
      <c r="J78" s="38"/>
      <c r="K78" s="33"/>
      <c r="L78" s="46"/>
    </row>
    <row r="79" spans="1:12" s="25" customFormat="1">
      <c r="A79" s="73">
        <v>78</v>
      </c>
      <c r="B79" s="75"/>
      <c r="C79" s="75"/>
      <c r="D79" s="75"/>
      <c r="E79" s="75"/>
      <c r="F79" s="39"/>
      <c r="G79" s="76"/>
      <c r="H79" s="38"/>
      <c r="I79" s="38"/>
      <c r="J79" s="38"/>
      <c r="K79" s="33"/>
      <c r="L79" s="46"/>
    </row>
    <row r="80" spans="1:12" s="25" customFormat="1">
      <c r="A80" s="73">
        <v>79</v>
      </c>
      <c r="B80" s="75"/>
      <c r="C80" s="75"/>
      <c r="D80" s="75"/>
      <c r="E80" s="75"/>
      <c r="F80" s="39"/>
      <c r="G80" s="76"/>
      <c r="H80" s="38"/>
      <c r="I80" s="38"/>
      <c r="J80" s="38"/>
      <c r="K80" s="33"/>
      <c r="L80" s="46"/>
    </row>
    <row r="81" spans="1:12" s="25" customFormat="1">
      <c r="A81" s="73">
        <v>80</v>
      </c>
      <c r="B81" s="75"/>
      <c r="C81" s="75"/>
      <c r="D81" s="75"/>
      <c r="E81" s="75"/>
      <c r="F81" s="39"/>
      <c r="G81" s="38"/>
      <c r="H81" s="38"/>
      <c r="I81" s="38"/>
      <c r="J81" s="38"/>
      <c r="K81" s="33"/>
      <c r="L81" s="46"/>
    </row>
    <row r="82" spans="1:12" s="25" customFormat="1">
      <c r="A82" s="73">
        <v>81</v>
      </c>
      <c r="B82" s="75"/>
      <c r="C82" s="75"/>
      <c r="D82" s="75"/>
      <c r="E82" s="75"/>
      <c r="F82" s="39"/>
      <c r="G82" s="38"/>
      <c r="H82" s="38"/>
      <c r="I82" s="38"/>
      <c r="J82" s="38"/>
      <c r="K82" s="33"/>
      <c r="L82" s="46"/>
    </row>
    <row r="83" spans="1:12" s="25" customFormat="1">
      <c r="A83" s="73">
        <v>82</v>
      </c>
      <c r="B83" s="75"/>
      <c r="C83" s="75"/>
      <c r="D83" s="75"/>
      <c r="E83" s="75"/>
      <c r="F83" s="39"/>
      <c r="G83" s="38"/>
      <c r="H83" s="38"/>
      <c r="I83" s="38"/>
      <c r="J83" s="38"/>
      <c r="K83" s="33"/>
      <c r="L83" s="46"/>
    </row>
    <row r="84" spans="1:12" s="25" customFormat="1">
      <c r="A84" s="73">
        <v>83</v>
      </c>
      <c r="B84" s="75"/>
      <c r="C84" s="75"/>
      <c r="D84" s="75"/>
      <c r="E84" s="75"/>
      <c r="F84" s="52"/>
      <c r="G84" s="38"/>
      <c r="H84" s="38"/>
      <c r="I84" s="38"/>
      <c r="J84" s="38"/>
      <c r="K84" s="38"/>
      <c r="L84" s="46"/>
    </row>
    <row r="85" spans="1:12" s="25" customFormat="1">
      <c r="A85" s="73">
        <v>84</v>
      </c>
      <c r="B85" s="75"/>
      <c r="C85" s="75"/>
      <c r="D85" s="33"/>
      <c r="E85" s="33"/>
      <c r="F85" s="52"/>
      <c r="G85" s="76"/>
      <c r="H85" s="38"/>
      <c r="I85" s="38"/>
      <c r="J85" s="38"/>
      <c r="K85" s="38"/>
      <c r="L85" s="46"/>
    </row>
    <row r="86" spans="1:12" s="25" customFormat="1">
      <c r="A86" s="73">
        <v>85</v>
      </c>
      <c r="B86" s="75"/>
      <c r="C86" s="75"/>
      <c r="F86" s="28"/>
      <c r="G86" s="29"/>
      <c r="H86" s="29"/>
      <c r="I86" s="38"/>
      <c r="J86" s="38"/>
      <c r="K86" s="38"/>
      <c r="L86" s="46"/>
    </row>
    <row r="87" spans="1:12" s="25" customFormat="1">
      <c r="A87" s="33"/>
      <c r="B87" s="33"/>
      <c r="C87" s="33"/>
      <c r="F87" s="28"/>
      <c r="G87" s="29"/>
      <c r="H87" s="29"/>
      <c r="I87" s="38"/>
      <c r="J87" s="38"/>
      <c r="K87" s="38"/>
      <c r="L87" s="46"/>
    </row>
  </sheetData>
  <phoneticPr fontId="38" type="noConversion"/>
  <pageMargins left="0.69930555555555596" right="0.69930555555555596" top="0.75" bottom="0.75" header="0.3" footer="0.3"/>
  <pageSetup paperSize="9" orientation="portrait" horizontalDpi="180" verticalDpi="18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75"/>
  <sheetViews>
    <sheetView workbookViewId="0">
      <pane ySplit="1" topLeftCell="A2" activePane="bottomLeft" state="frozen"/>
      <selection pane="bottomLeft" activeCell="D15" sqref="D15"/>
    </sheetView>
  </sheetViews>
  <sheetFormatPr defaultColWidth="8.875" defaultRowHeight="13.5"/>
  <cols>
    <col min="1" max="1" width="3.875" style="25" customWidth="1"/>
    <col min="2" max="2" width="12.625" style="25" customWidth="1"/>
    <col min="3" max="3" width="24.5" style="25" customWidth="1"/>
    <col min="4" max="4" width="23.875" style="53" customWidth="1"/>
    <col min="5" max="5" width="22.25" style="53" customWidth="1"/>
    <col min="6" max="6" width="21.75" style="54" customWidth="1"/>
    <col min="7" max="7" width="21.125" style="54" customWidth="1"/>
    <col min="8" max="8" width="26.25" style="54" customWidth="1"/>
    <col min="9" max="9" width="36.875" style="55" customWidth="1"/>
    <col min="10" max="10" width="16.875" style="55" customWidth="1"/>
    <col min="11" max="11" width="12.125" style="56" customWidth="1"/>
    <col min="12" max="12" width="45.75" style="56" customWidth="1"/>
    <col min="13" max="13" width="16.5" style="55" customWidth="1"/>
    <col min="14" max="14" width="10.875" style="29" customWidth="1"/>
    <col min="15" max="15" width="10.5" style="29" customWidth="1"/>
    <col min="16" max="16" width="31.875" style="30" customWidth="1"/>
    <col min="17" max="16384" width="8.875" style="29"/>
  </cols>
  <sheetData>
    <row r="1" spans="1:16" ht="15">
      <c r="A1" s="57" t="s">
        <v>124</v>
      </c>
      <c r="B1" s="57" t="s">
        <v>117</v>
      </c>
      <c r="C1" s="57" t="s">
        <v>125</v>
      </c>
      <c r="D1" s="58" t="s">
        <v>49</v>
      </c>
      <c r="E1" s="58" t="s">
        <v>120</v>
      </c>
      <c r="F1" s="58" t="s">
        <v>28</v>
      </c>
      <c r="G1" s="58" t="s">
        <v>126</v>
      </c>
      <c r="H1" s="58" t="s">
        <v>127</v>
      </c>
      <c r="I1" s="58" t="s">
        <v>36</v>
      </c>
      <c r="J1" s="64" t="s">
        <v>128</v>
      </c>
      <c r="K1" s="64" t="s">
        <v>129</v>
      </c>
      <c r="L1" s="58" t="s">
        <v>130</v>
      </c>
      <c r="M1" s="58" t="s">
        <v>131</v>
      </c>
    </row>
    <row r="2" spans="1:16" s="25" customFormat="1" ht="15">
      <c r="A2" s="59">
        <f>ROW()-1</f>
        <v>1</v>
      </c>
      <c r="B2" s="60" t="s">
        <v>132</v>
      </c>
      <c r="C2" s="60" t="s">
        <v>132</v>
      </c>
      <c r="D2" s="61" t="s">
        <v>132</v>
      </c>
      <c r="E2" s="61" t="s">
        <v>133</v>
      </c>
      <c r="F2" s="62" t="s">
        <v>132</v>
      </c>
      <c r="G2" s="62" t="s">
        <v>134</v>
      </c>
      <c r="H2" s="62" t="s">
        <v>135</v>
      </c>
      <c r="I2" s="61" t="s">
        <v>136</v>
      </c>
      <c r="J2" s="61"/>
      <c r="K2" s="65"/>
      <c r="L2" s="65"/>
      <c r="M2" s="61"/>
      <c r="P2" s="46"/>
    </row>
    <row r="3" spans="1:16" s="25" customFormat="1" ht="15">
      <c r="A3" s="59">
        <f>ROW()-1</f>
        <v>2</v>
      </c>
      <c r="B3" s="60" t="s">
        <v>137</v>
      </c>
      <c r="C3" s="60" t="s">
        <v>138</v>
      </c>
      <c r="D3" s="61" t="s">
        <v>138</v>
      </c>
      <c r="E3" s="61" t="s">
        <v>139</v>
      </c>
      <c r="F3" s="62" t="s">
        <v>138</v>
      </c>
      <c r="G3" s="62" t="s">
        <v>140</v>
      </c>
      <c r="H3" s="62" t="s">
        <v>141</v>
      </c>
      <c r="I3" s="61" t="s">
        <v>142</v>
      </c>
      <c r="J3" s="61"/>
      <c r="K3" s="65"/>
      <c r="L3" s="65"/>
      <c r="M3" s="61"/>
      <c r="P3" s="46"/>
    </row>
    <row r="4" spans="1:16" s="25" customFormat="1" ht="15">
      <c r="A4" s="59">
        <f>ROW()-1</f>
        <v>3</v>
      </c>
      <c r="B4" s="60" t="s">
        <v>137</v>
      </c>
      <c r="C4" s="60" t="s">
        <v>143</v>
      </c>
      <c r="D4" s="61" t="s">
        <v>143</v>
      </c>
      <c r="E4" s="61" t="s">
        <v>144</v>
      </c>
      <c r="F4" s="62" t="s">
        <v>143</v>
      </c>
      <c r="G4" s="62" t="s">
        <v>145</v>
      </c>
      <c r="H4" s="62" t="s">
        <v>146</v>
      </c>
      <c r="I4" s="61" t="s">
        <v>142</v>
      </c>
      <c r="J4" s="61"/>
      <c r="K4" s="65"/>
      <c r="L4" s="65"/>
      <c r="M4" s="61"/>
      <c r="P4" s="46"/>
    </row>
    <row r="5" spans="1:16" s="25" customFormat="1" ht="15">
      <c r="A5" s="59">
        <f>ROW()-1</f>
        <v>4</v>
      </c>
      <c r="B5" s="60" t="s">
        <v>137</v>
      </c>
      <c r="C5" s="60" t="s">
        <v>147</v>
      </c>
      <c r="D5" s="61" t="s">
        <v>147</v>
      </c>
      <c r="E5" s="61" t="s">
        <v>148</v>
      </c>
      <c r="F5" s="62" t="s">
        <v>147</v>
      </c>
      <c r="G5" s="62" t="s">
        <v>149</v>
      </c>
      <c r="H5" s="62" t="s">
        <v>150</v>
      </c>
      <c r="I5" s="62" t="s">
        <v>142</v>
      </c>
      <c r="J5" s="61"/>
      <c r="K5" s="65"/>
      <c r="L5" s="65"/>
      <c r="M5" s="61"/>
      <c r="P5" s="46"/>
    </row>
    <row r="6" spans="1:16" s="25" customFormat="1" ht="15">
      <c r="A6" s="59">
        <f>ROW()-1</f>
        <v>5</v>
      </c>
      <c r="B6" s="60" t="s">
        <v>137</v>
      </c>
      <c r="C6" s="60" t="s">
        <v>151</v>
      </c>
      <c r="D6" s="60" t="s">
        <v>151</v>
      </c>
      <c r="E6" s="61" t="s">
        <v>152</v>
      </c>
      <c r="F6" s="62" t="s">
        <v>151</v>
      </c>
      <c r="G6" s="62" t="s">
        <v>153</v>
      </c>
      <c r="H6" s="62" t="s">
        <v>154</v>
      </c>
      <c r="I6" s="60" t="s">
        <v>142</v>
      </c>
      <c r="J6" s="61"/>
      <c r="K6" s="65"/>
      <c r="L6" s="65"/>
      <c r="M6" s="61"/>
      <c r="P6" s="46"/>
    </row>
    <row r="7" spans="1:16" s="25" customFormat="1" ht="15">
      <c r="A7" s="59">
        <f t="shared" ref="A7:A70" si="0">ROW()-1</f>
        <v>6</v>
      </c>
      <c r="B7" s="60" t="s">
        <v>137</v>
      </c>
      <c r="C7" s="60" t="s">
        <v>155</v>
      </c>
      <c r="D7" s="60" t="s">
        <v>155</v>
      </c>
      <c r="E7" s="60" t="s">
        <v>156</v>
      </c>
      <c r="F7" s="60" t="s">
        <v>155</v>
      </c>
      <c r="G7" s="62" t="s">
        <v>157</v>
      </c>
      <c r="H7" s="62" t="s">
        <v>158</v>
      </c>
      <c r="I7" s="60" t="s">
        <v>142</v>
      </c>
      <c r="J7" s="61"/>
      <c r="K7" s="65"/>
      <c r="L7" s="65"/>
      <c r="M7" s="61"/>
      <c r="P7" s="46"/>
    </row>
    <row r="8" spans="1:16" s="25" customFormat="1" ht="15">
      <c r="A8" s="59">
        <f t="shared" si="0"/>
        <v>7</v>
      </c>
      <c r="B8" s="60" t="s">
        <v>159</v>
      </c>
      <c r="C8" s="60" t="s">
        <v>160</v>
      </c>
      <c r="D8" s="60" t="s">
        <v>160</v>
      </c>
      <c r="E8" s="60" t="s">
        <v>161</v>
      </c>
      <c r="F8" s="60" t="s">
        <v>160</v>
      </c>
      <c r="G8" s="62" t="s">
        <v>162</v>
      </c>
      <c r="H8" s="62" t="s">
        <v>163</v>
      </c>
      <c r="I8" s="61" t="s">
        <v>164</v>
      </c>
      <c r="J8" s="61"/>
      <c r="K8" s="65"/>
      <c r="L8" s="65"/>
      <c r="M8" s="61"/>
      <c r="P8" s="46"/>
    </row>
    <row r="9" spans="1:16" s="25" customFormat="1" ht="15">
      <c r="A9" s="59">
        <f t="shared" si="0"/>
        <v>8</v>
      </c>
      <c r="B9" s="60" t="s">
        <v>159</v>
      </c>
      <c r="C9" s="60" t="s">
        <v>165</v>
      </c>
      <c r="D9" s="60" t="s">
        <v>165</v>
      </c>
      <c r="E9" s="60" t="s">
        <v>166</v>
      </c>
      <c r="F9" s="60" t="s">
        <v>165</v>
      </c>
      <c r="G9" s="62" t="s">
        <v>167</v>
      </c>
      <c r="H9" s="62" t="s">
        <v>168</v>
      </c>
      <c r="I9" s="61" t="s">
        <v>164</v>
      </c>
      <c r="J9" s="61"/>
      <c r="K9" s="65"/>
      <c r="L9" s="65"/>
      <c r="M9" s="61"/>
      <c r="P9" s="46"/>
    </row>
    <row r="10" spans="1:16" s="25" customFormat="1" ht="15">
      <c r="A10" s="59">
        <f t="shared" si="0"/>
        <v>9</v>
      </c>
      <c r="B10" s="60" t="s">
        <v>159</v>
      </c>
      <c r="C10" s="60" t="s">
        <v>169</v>
      </c>
      <c r="D10" s="60" t="s">
        <v>169</v>
      </c>
      <c r="E10" s="60" t="s">
        <v>170</v>
      </c>
      <c r="F10" s="60" t="s">
        <v>169</v>
      </c>
      <c r="G10" s="62" t="s">
        <v>171</v>
      </c>
      <c r="H10" s="62" t="s">
        <v>172</v>
      </c>
      <c r="I10" s="61" t="s">
        <v>164</v>
      </c>
      <c r="J10" s="61"/>
      <c r="K10" s="65"/>
      <c r="L10" s="65"/>
      <c r="M10" s="61"/>
      <c r="P10" s="46"/>
    </row>
    <row r="11" spans="1:16" s="25" customFormat="1" ht="15">
      <c r="A11" s="59">
        <f t="shared" si="0"/>
        <v>10</v>
      </c>
      <c r="B11" s="60" t="s">
        <v>159</v>
      </c>
      <c r="C11" s="60" t="s">
        <v>173</v>
      </c>
      <c r="D11" s="60" t="s">
        <v>173</v>
      </c>
      <c r="E11" s="60" t="s">
        <v>174</v>
      </c>
      <c r="F11" s="60" t="s">
        <v>173</v>
      </c>
      <c r="G11" s="62" t="s">
        <v>175</v>
      </c>
      <c r="H11" s="62" t="s">
        <v>176</v>
      </c>
      <c r="I11" s="61" t="s">
        <v>164</v>
      </c>
      <c r="J11" s="61"/>
      <c r="K11" s="65"/>
      <c r="L11" s="65"/>
      <c r="M11" s="61"/>
      <c r="P11" s="46"/>
    </row>
    <row r="12" spans="1:16" s="25" customFormat="1" ht="15">
      <c r="A12" s="59">
        <f t="shared" si="0"/>
        <v>11</v>
      </c>
      <c r="B12" s="60" t="s">
        <v>159</v>
      </c>
      <c r="C12" s="60" t="s">
        <v>177</v>
      </c>
      <c r="D12" s="60" t="s">
        <v>177</v>
      </c>
      <c r="E12" s="60" t="s">
        <v>178</v>
      </c>
      <c r="F12" s="60" t="s">
        <v>177</v>
      </c>
      <c r="G12" s="62" t="s">
        <v>179</v>
      </c>
      <c r="H12" s="62" t="s">
        <v>180</v>
      </c>
      <c r="I12" s="61" t="s">
        <v>164</v>
      </c>
      <c r="J12" s="61"/>
      <c r="K12" s="65"/>
      <c r="L12" s="65"/>
      <c r="M12" s="61"/>
      <c r="P12" s="46"/>
    </row>
    <row r="13" spans="1:16" s="25" customFormat="1" ht="15">
      <c r="A13" s="59">
        <f t="shared" si="0"/>
        <v>12</v>
      </c>
      <c r="B13" s="60" t="s">
        <v>181</v>
      </c>
      <c r="C13" s="60" t="s">
        <v>182</v>
      </c>
      <c r="D13" s="60" t="s">
        <v>182</v>
      </c>
      <c r="E13" s="60" t="s">
        <v>183</v>
      </c>
      <c r="F13" s="60" t="s">
        <v>182</v>
      </c>
      <c r="G13" s="62" t="s">
        <v>184</v>
      </c>
      <c r="H13" s="62" t="s">
        <v>185</v>
      </c>
      <c r="I13" s="61" t="s">
        <v>186</v>
      </c>
      <c r="J13" s="61"/>
      <c r="K13" s="65"/>
      <c r="L13" s="65"/>
      <c r="M13" s="61"/>
      <c r="P13" s="46"/>
    </row>
    <row r="14" spans="1:16" s="25" customFormat="1" ht="24">
      <c r="A14" s="59">
        <f t="shared" si="0"/>
        <v>13</v>
      </c>
      <c r="B14" s="60" t="s">
        <v>187</v>
      </c>
      <c r="C14" s="60" t="s">
        <v>188</v>
      </c>
      <c r="D14" s="60" t="s">
        <v>188</v>
      </c>
      <c r="E14" s="60" t="s">
        <v>189</v>
      </c>
      <c r="F14" s="60" t="s">
        <v>188</v>
      </c>
      <c r="G14" s="62" t="s">
        <v>190</v>
      </c>
      <c r="H14" s="62" t="s">
        <v>191</v>
      </c>
      <c r="I14" s="61" t="s">
        <v>192</v>
      </c>
      <c r="J14" s="61"/>
      <c r="K14" s="65"/>
      <c r="L14" s="65"/>
      <c r="M14" s="61"/>
      <c r="P14" s="46"/>
    </row>
    <row r="15" spans="1:16" s="25" customFormat="1" ht="24">
      <c r="A15" s="59">
        <f t="shared" si="0"/>
        <v>14</v>
      </c>
      <c r="B15" s="60" t="s">
        <v>187</v>
      </c>
      <c r="C15" s="60" t="s">
        <v>193</v>
      </c>
      <c r="D15" s="60" t="s">
        <v>193</v>
      </c>
      <c r="E15" s="60" t="s">
        <v>194</v>
      </c>
      <c r="F15" s="60" t="s">
        <v>193</v>
      </c>
      <c r="G15" s="62" t="s">
        <v>195</v>
      </c>
      <c r="H15" s="62" t="s">
        <v>196</v>
      </c>
      <c r="I15" s="61" t="s">
        <v>197</v>
      </c>
      <c r="J15" s="61"/>
      <c r="K15" s="65"/>
      <c r="L15" s="65"/>
      <c r="M15" s="61"/>
      <c r="P15" s="46"/>
    </row>
    <row r="16" spans="1:16" s="25" customFormat="1" ht="24">
      <c r="A16" s="59">
        <f t="shared" si="0"/>
        <v>15</v>
      </c>
      <c r="B16" s="60" t="s">
        <v>187</v>
      </c>
      <c r="C16" s="60" t="s">
        <v>198</v>
      </c>
      <c r="D16" s="60" t="s">
        <v>198</v>
      </c>
      <c r="E16" s="60" t="s">
        <v>199</v>
      </c>
      <c r="F16" s="60" t="s">
        <v>198</v>
      </c>
      <c r="G16" s="62" t="s">
        <v>200</v>
      </c>
      <c r="H16" s="62" t="s">
        <v>201</v>
      </c>
      <c r="I16" s="61" t="s">
        <v>202</v>
      </c>
      <c r="J16" s="61"/>
      <c r="K16" s="65"/>
      <c r="L16" s="65"/>
      <c r="M16" s="61"/>
      <c r="P16" s="46"/>
    </row>
    <row r="17" spans="1:16" s="25" customFormat="1" ht="24">
      <c r="A17" s="59">
        <f t="shared" si="0"/>
        <v>16</v>
      </c>
      <c r="B17" s="60" t="s">
        <v>187</v>
      </c>
      <c r="C17" s="60" t="s">
        <v>203</v>
      </c>
      <c r="D17" s="60" t="s">
        <v>203</v>
      </c>
      <c r="E17" s="60" t="s">
        <v>331</v>
      </c>
      <c r="F17" s="60" t="s">
        <v>203</v>
      </c>
      <c r="G17" s="62" t="s">
        <v>190</v>
      </c>
      <c r="H17" s="62" t="s">
        <v>204</v>
      </c>
      <c r="I17" s="61" t="s">
        <v>205</v>
      </c>
      <c r="J17" s="61"/>
      <c r="K17" s="65"/>
      <c r="L17" s="65"/>
      <c r="M17" s="61"/>
      <c r="P17" s="46"/>
    </row>
    <row r="18" spans="1:16" s="25" customFormat="1" ht="24">
      <c r="A18" s="59">
        <f t="shared" si="0"/>
        <v>17</v>
      </c>
      <c r="B18" s="60" t="s">
        <v>187</v>
      </c>
      <c r="C18" s="60" t="s">
        <v>206</v>
      </c>
      <c r="D18" s="60" t="s">
        <v>206</v>
      </c>
      <c r="E18" s="60" t="s">
        <v>207</v>
      </c>
      <c r="F18" s="60" t="s">
        <v>206</v>
      </c>
      <c r="G18" s="62" t="s">
        <v>208</v>
      </c>
      <c r="H18" s="62" t="s">
        <v>209</v>
      </c>
      <c r="I18" s="60" t="s">
        <v>202</v>
      </c>
      <c r="J18" s="61"/>
      <c r="K18" s="65"/>
      <c r="L18" s="65"/>
      <c r="M18" s="61"/>
      <c r="P18" s="46"/>
    </row>
    <row r="19" spans="1:16" s="25" customFormat="1" ht="24">
      <c r="A19" s="59">
        <f t="shared" si="0"/>
        <v>18</v>
      </c>
      <c r="B19" s="60" t="s">
        <v>187</v>
      </c>
      <c r="C19" s="60" t="s">
        <v>210</v>
      </c>
      <c r="D19" s="60" t="s">
        <v>210</v>
      </c>
      <c r="E19" s="60" t="s">
        <v>211</v>
      </c>
      <c r="F19" s="60" t="s">
        <v>210</v>
      </c>
      <c r="G19" s="62" t="s">
        <v>212</v>
      </c>
      <c r="H19" s="62" t="s">
        <v>213</v>
      </c>
      <c r="I19" s="60" t="s">
        <v>202</v>
      </c>
      <c r="J19" s="61"/>
      <c r="K19" s="65"/>
      <c r="L19" s="65"/>
      <c r="M19" s="61"/>
      <c r="P19" s="46"/>
    </row>
    <row r="20" spans="1:16" s="25" customFormat="1" ht="24">
      <c r="A20" s="59">
        <f t="shared" si="0"/>
        <v>19</v>
      </c>
      <c r="B20" s="60" t="s">
        <v>187</v>
      </c>
      <c r="C20" s="60" t="s">
        <v>214</v>
      </c>
      <c r="D20" s="60" t="s">
        <v>214</v>
      </c>
      <c r="E20" s="60" t="s">
        <v>215</v>
      </c>
      <c r="F20" s="60" t="s">
        <v>214</v>
      </c>
      <c r="G20" s="62" t="s">
        <v>216</v>
      </c>
      <c r="H20" s="62" t="s">
        <v>217</v>
      </c>
      <c r="I20" s="60" t="s">
        <v>202</v>
      </c>
      <c r="J20" s="61"/>
      <c r="K20" s="65"/>
      <c r="L20" s="65"/>
      <c r="M20" s="61"/>
      <c r="P20" s="46"/>
    </row>
    <row r="21" spans="1:16" s="25" customFormat="1" ht="15">
      <c r="A21" s="59">
        <f t="shared" si="0"/>
        <v>20</v>
      </c>
      <c r="B21" s="60" t="s">
        <v>187</v>
      </c>
      <c r="C21" s="60" t="s">
        <v>218</v>
      </c>
      <c r="D21" s="60" t="s">
        <v>218</v>
      </c>
      <c r="E21" s="60" t="s">
        <v>219</v>
      </c>
      <c r="F21" s="60" t="s">
        <v>218</v>
      </c>
      <c r="G21" s="62" t="s">
        <v>220</v>
      </c>
      <c r="H21" s="62" t="s">
        <v>221</v>
      </c>
      <c r="I21" s="60" t="s">
        <v>222</v>
      </c>
      <c r="J21" s="61"/>
      <c r="K21" s="65"/>
      <c r="L21" s="65"/>
      <c r="M21" s="61"/>
      <c r="P21" s="46"/>
    </row>
    <row r="22" spans="1:16" s="25" customFormat="1" ht="15">
      <c r="A22" s="59">
        <f t="shared" si="0"/>
        <v>21</v>
      </c>
      <c r="B22" s="60" t="s">
        <v>187</v>
      </c>
      <c r="C22" s="60" t="s">
        <v>223</v>
      </c>
      <c r="D22" s="60" t="s">
        <v>223</v>
      </c>
      <c r="E22" s="60" t="s">
        <v>224</v>
      </c>
      <c r="F22" s="60" t="s">
        <v>223</v>
      </c>
      <c r="G22" s="62" t="s">
        <v>225</v>
      </c>
      <c r="H22" s="62" t="s">
        <v>226</v>
      </c>
      <c r="I22" s="60" t="s">
        <v>222</v>
      </c>
      <c r="J22" s="61"/>
      <c r="K22" s="65"/>
      <c r="L22" s="65"/>
      <c r="M22" s="61"/>
      <c r="P22" s="46"/>
    </row>
    <row r="23" spans="1:16" s="25" customFormat="1" ht="15">
      <c r="A23" s="59">
        <f t="shared" si="0"/>
        <v>22</v>
      </c>
      <c r="B23" s="60" t="s">
        <v>187</v>
      </c>
      <c r="C23" s="60" t="s">
        <v>227</v>
      </c>
      <c r="D23" s="60" t="s">
        <v>227</v>
      </c>
      <c r="E23" s="60" t="s">
        <v>228</v>
      </c>
      <c r="F23" s="60" t="s">
        <v>227</v>
      </c>
      <c r="G23" s="62" t="s">
        <v>229</v>
      </c>
      <c r="H23" s="62" t="s">
        <v>230</v>
      </c>
      <c r="I23" s="60" t="s">
        <v>222</v>
      </c>
      <c r="J23" s="61"/>
      <c r="K23" s="65"/>
      <c r="L23" s="65"/>
      <c r="M23" s="61"/>
      <c r="P23" s="46"/>
    </row>
    <row r="24" spans="1:16" s="25" customFormat="1" ht="24">
      <c r="A24" s="59">
        <f t="shared" si="0"/>
        <v>23</v>
      </c>
      <c r="B24" s="60" t="s">
        <v>187</v>
      </c>
      <c r="C24" s="60" t="s">
        <v>231</v>
      </c>
      <c r="D24" s="60" t="s">
        <v>231</v>
      </c>
      <c r="E24" s="60" t="s">
        <v>232</v>
      </c>
      <c r="F24" s="60" t="s">
        <v>231</v>
      </c>
      <c r="G24" s="62" t="s">
        <v>233</v>
      </c>
      <c r="H24" s="62" t="s">
        <v>234</v>
      </c>
      <c r="I24" s="60" t="s">
        <v>222</v>
      </c>
      <c r="J24" s="61"/>
      <c r="K24" s="65"/>
      <c r="L24" s="65"/>
      <c r="M24" s="61"/>
      <c r="P24" s="46"/>
    </row>
    <row r="25" spans="1:16" s="25" customFormat="1" ht="15">
      <c r="A25" s="59">
        <f t="shared" si="0"/>
        <v>24</v>
      </c>
      <c r="B25" s="60" t="s">
        <v>187</v>
      </c>
      <c r="C25" s="60" t="s">
        <v>235</v>
      </c>
      <c r="D25" s="60" t="s">
        <v>235</v>
      </c>
      <c r="E25" s="60" t="s">
        <v>236</v>
      </c>
      <c r="F25" s="60" t="s">
        <v>235</v>
      </c>
      <c r="G25" s="62" t="s">
        <v>237</v>
      </c>
      <c r="H25" s="62" t="s">
        <v>238</v>
      </c>
      <c r="I25" s="60" t="s">
        <v>222</v>
      </c>
      <c r="J25" s="61"/>
      <c r="K25" s="65"/>
      <c r="L25" s="65"/>
      <c r="M25" s="61"/>
      <c r="P25" s="46"/>
    </row>
    <row r="26" spans="1:16" s="25" customFormat="1" ht="24">
      <c r="A26" s="59">
        <f t="shared" si="0"/>
        <v>25</v>
      </c>
      <c r="B26" s="60" t="s">
        <v>187</v>
      </c>
      <c r="C26" s="60" t="s">
        <v>239</v>
      </c>
      <c r="D26" s="60" t="s">
        <v>239</v>
      </c>
      <c r="E26" s="60" t="s">
        <v>240</v>
      </c>
      <c r="F26" s="60" t="s">
        <v>239</v>
      </c>
      <c r="G26" s="62" t="s">
        <v>241</v>
      </c>
      <c r="H26" s="62" t="s">
        <v>242</v>
      </c>
      <c r="I26" s="60" t="s">
        <v>243</v>
      </c>
      <c r="J26" s="61"/>
      <c r="K26" s="65"/>
      <c r="L26" s="65"/>
      <c r="M26" s="61"/>
      <c r="P26" s="46"/>
    </row>
    <row r="27" spans="1:16" s="25" customFormat="1" ht="15">
      <c r="A27" s="59">
        <f t="shared" si="0"/>
        <v>26</v>
      </c>
      <c r="B27" s="60"/>
      <c r="C27" s="60"/>
      <c r="D27" s="60"/>
      <c r="E27" s="60"/>
      <c r="F27" s="60"/>
      <c r="G27" s="62"/>
      <c r="H27" s="62"/>
      <c r="I27" s="60"/>
      <c r="J27" s="61"/>
      <c r="K27" s="65"/>
      <c r="L27" s="65"/>
      <c r="M27" s="61"/>
      <c r="P27" s="46"/>
    </row>
    <row r="28" spans="1:16" s="25" customFormat="1" ht="15">
      <c r="A28" s="59">
        <f t="shared" si="0"/>
        <v>27</v>
      </c>
      <c r="B28" s="60"/>
      <c r="C28" s="60"/>
      <c r="D28" s="60"/>
      <c r="E28" s="60"/>
      <c r="F28" s="60"/>
      <c r="G28" s="62"/>
      <c r="H28" s="62"/>
      <c r="I28" s="60"/>
      <c r="J28" s="61"/>
      <c r="K28" s="65"/>
      <c r="L28" s="65"/>
      <c r="M28" s="61"/>
      <c r="P28" s="46"/>
    </row>
    <row r="29" spans="1:16" s="25" customFormat="1" ht="15">
      <c r="A29" s="59">
        <f t="shared" si="0"/>
        <v>28</v>
      </c>
      <c r="B29" s="60"/>
      <c r="C29" s="60"/>
      <c r="D29" s="60"/>
      <c r="E29" s="60"/>
      <c r="F29" s="60"/>
      <c r="G29" s="62"/>
      <c r="H29" s="62"/>
      <c r="I29" s="60"/>
      <c r="J29" s="61"/>
      <c r="K29" s="65"/>
      <c r="L29" s="65"/>
      <c r="M29" s="61"/>
      <c r="P29" s="46"/>
    </row>
    <row r="30" spans="1:16" s="25" customFormat="1" ht="15">
      <c r="A30" s="59">
        <f t="shared" si="0"/>
        <v>29</v>
      </c>
      <c r="B30" s="60"/>
      <c r="C30" s="60"/>
      <c r="D30" s="60"/>
      <c r="E30" s="60"/>
      <c r="F30" s="60"/>
      <c r="G30" s="62"/>
      <c r="H30" s="62"/>
      <c r="I30" s="60"/>
      <c r="J30" s="61"/>
      <c r="K30" s="65"/>
      <c r="L30" s="65"/>
      <c r="M30" s="61"/>
      <c r="P30" s="46"/>
    </row>
    <row r="31" spans="1:16" s="25" customFormat="1" ht="15">
      <c r="A31" s="59">
        <f t="shared" si="0"/>
        <v>30</v>
      </c>
      <c r="B31" s="60"/>
      <c r="C31" s="60"/>
      <c r="D31" s="60"/>
      <c r="E31" s="60"/>
      <c r="F31" s="60"/>
      <c r="G31" s="62"/>
      <c r="H31" s="62"/>
      <c r="I31" s="60"/>
      <c r="J31" s="61"/>
      <c r="K31" s="65"/>
      <c r="L31" s="65"/>
      <c r="M31" s="61"/>
      <c r="P31" s="46"/>
    </row>
    <row r="32" spans="1:16" s="25" customFormat="1" ht="15">
      <c r="A32" s="59">
        <f t="shared" si="0"/>
        <v>31</v>
      </c>
      <c r="B32" s="60"/>
      <c r="C32" s="60"/>
      <c r="D32" s="60"/>
      <c r="E32" s="60"/>
      <c r="F32" s="60"/>
      <c r="G32" s="62"/>
      <c r="H32" s="62"/>
      <c r="I32" s="60"/>
      <c r="J32" s="61"/>
      <c r="K32" s="65"/>
      <c r="L32" s="65"/>
      <c r="M32" s="61"/>
      <c r="P32" s="46"/>
    </row>
    <row r="33" spans="1:16" s="25" customFormat="1" ht="15">
      <c r="A33" s="59">
        <f t="shared" si="0"/>
        <v>32</v>
      </c>
      <c r="B33" s="60"/>
      <c r="C33" s="60"/>
      <c r="D33" s="60"/>
      <c r="E33" s="60"/>
      <c r="F33" s="60"/>
      <c r="G33" s="62"/>
      <c r="H33" s="62"/>
      <c r="I33" s="60"/>
      <c r="J33" s="61"/>
      <c r="K33" s="65"/>
      <c r="L33" s="65"/>
      <c r="M33" s="61"/>
      <c r="P33" s="46"/>
    </row>
    <row r="34" spans="1:16" s="25" customFormat="1" ht="15">
      <c r="A34" s="59">
        <f t="shared" si="0"/>
        <v>33</v>
      </c>
      <c r="B34" s="60"/>
      <c r="C34" s="60"/>
      <c r="D34" s="60"/>
      <c r="E34" s="60"/>
      <c r="F34" s="60"/>
      <c r="G34" s="62"/>
      <c r="H34" s="62"/>
      <c r="I34" s="60"/>
      <c r="J34" s="61"/>
      <c r="K34" s="65"/>
      <c r="L34" s="65"/>
      <c r="M34" s="61"/>
      <c r="P34" s="46"/>
    </row>
    <row r="35" spans="1:16" s="25" customFormat="1" ht="15">
      <c r="A35" s="59">
        <f t="shared" si="0"/>
        <v>34</v>
      </c>
      <c r="B35" s="60"/>
      <c r="C35" s="60"/>
      <c r="D35" s="60"/>
      <c r="E35" s="60"/>
      <c r="F35" s="60"/>
      <c r="G35" s="62"/>
      <c r="H35" s="62"/>
      <c r="I35" s="60"/>
      <c r="J35" s="61"/>
      <c r="K35" s="65"/>
      <c r="L35" s="65"/>
      <c r="M35" s="61"/>
      <c r="P35" s="46"/>
    </row>
    <row r="36" spans="1:16" s="25" customFormat="1" ht="15">
      <c r="A36" s="59">
        <f t="shared" si="0"/>
        <v>35</v>
      </c>
      <c r="B36" s="60"/>
      <c r="C36" s="60"/>
      <c r="D36" s="60"/>
      <c r="E36" s="60"/>
      <c r="F36" s="60"/>
      <c r="G36" s="62"/>
      <c r="H36" s="62"/>
      <c r="I36" s="60"/>
      <c r="J36" s="61"/>
      <c r="K36" s="65"/>
      <c r="L36" s="65"/>
      <c r="M36" s="61"/>
      <c r="P36" s="46"/>
    </row>
    <row r="37" spans="1:16" s="25" customFormat="1" ht="17.100000000000001" customHeight="1">
      <c r="A37" s="59">
        <f t="shared" si="0"/>
        <v>36</v>
      </c>
      <c r="B37" s="60"/>
      <c r="C37" s="60"/>
      <c r="D37" s="60"/>
      <c r="E37" s="60"/>
      <c r="F37" s="60"/>
      <c r="G37" s="61"/>
      <c r="H37" s="61"/>
      <c r="I37" s="60"/>
      <c r="J37" s="61"/>
      <c r="K37" s="65"/>
      <c r="L37" s="65"/>
      <c r="M37" s="61"/>
      <c r="P37" s="46"/>
    </row>
    <row r="38" spans="1:16" s="25" customFormat="1" ht="17.100000000000001" customHeight="1">
      <c r="A38" s="59">
        <f t="shared" si="0"/>
        <v>37</v>
      </c>
      <c r="B38" s="60"/>
      <c r="C38" s="60"/>
      <c r="D38" s="60"/>
      <c r="E38" s="60"/>
      <c r="F38" s="60"/>
      <c r="G38" s="61"/>
      <c r="H38" s="61"/>
      <c r="I38" s="60"/>
      <c r="J38" s="61"/>
      <c r="K38" s="65"/>
      <c r="L38" s="65"/>
      <c r="M38" s="61"/>
      <c r="P38" s="46"/>
    </row>
    <row r="39" spans="1:16" s="25" customFormat="1" ht="15">
      <c r="A39" s="59">
        <f t="shared" si="0"/>
        <v>38</v>
      </c>
      <c r="B39" s="60"/>
      <c r="C39" s="60"/>
      <c r="D39" s="60"/>
      <c r="E39" s="60"/>
      <c r="F39" s="60"/>
      <c r="G39" s="62"/>
      <c r="H39" s="62"/>
      <c r="I39" s="60"/>
      <c r="J39" s="61"/>
      <c r="K39" s="65"/>
      <c r="L39" s="65"/>
      <c r="M39" s="61"/>
      <c r="P39" s="46"/>
    </row>
    <row r="40" spans="1:16" s="25" customFormat="1" ht="15">
      <c r="A40" s="59">
        <f t="shared" si="0"/>
        <v>39</v>
      </c>
      <c r="B40" s="60"/>
      <c r="C40" s="60"/>
      <c r="D40" s="60"/>
      <c r="E40" s="60"/>
      <c r="F40" s="60"/>
      <c r="G40" s="62"/>
      <c r="H40" s="62"/>
      <c r="I40" s="60"/>
      <c r="J40" s="61"/>
      <c r="K40" s="65"/>
      <c r="L40" s="65"/>
      <c r="M40" s="61"/>
      <c r="P40" s="46"/>
    </row>
    <row r="41" spans="1:16" s="25" customFormat="1" ht="15">
      <c r="A41" s="59">
        <f t="shared" si="0"/>
        <v>40</v>
      </c>
      <c r="B41" s="60"/>
      <c r="C41" s="60"/>
      <c r="D41" s="60"/>
      <c r="E41" s="60"/>
      <c r="F41" s="60"/>
      <c r="G41" s="62"/>
      <c r="H41" s="62"/>
      <c r="I41" s="60"/>
      <c r="J41" s="61"/>
      <c r="K41" s="65"/>
      <c r="L41" s="65"/>
      <c r="M41" s="61"/>
      <c r="P41" s="46"/>
    </row>
    <row r="42" spans="1:16" s="25" customFormat="1" ht="15">
      <c r="A42" s="59">
        <f t="shared" si="0"/>
        <v>41</v>
      </c>
      <c r="B42" s="60"/>
      <c r="C42" s="60"/>
      <c r="D42" s="60"/>
      <c r="E42" s="60"/>
      <c r="F42" s="60"/>
      <c r="G42" s="62"/>
      <c r="H42" s="62"/>
      <c r="I42" s="60"/>
      <c r="J42" s="61"/>
      <c r="K42" s="65"/>
      <c r="L42" s="65"/>
      <c r="M42" s="61"/>
      <c r="P42" s="46"/>
    </row>
    <row r="43" spans="1:16" s="25" customFormat="1" ht="15">
      <c r="A43" s="59">
        <f t="shared" si="0"/>
        <v>42</v>
      </c>
      <c r="B43" s="60"/>
      <c r="C43" s="60"/>
      <c r="D43" s="60"/>
      <c r="E43" s="60"/>
      <c r="F43" s="60"/>
      <c r="G43" s="62"/>
      <c r="H43" s="62"/>
      <c r="I43" s="60"/>
      <c r="J43" s="61"/>
      <c r="K43" s="65"/>
      <c r="L43" s="65"/>
      <c r="M43" s="61"/>
      <c r="P43" s="46"/>
    </row>
    <row r="44" spans="1:16" s="25" customFormat="1" ht="15">
      <c r="A44" s="59">
        <f t="shared" si="0"/>
        <v>43</v>
      </c>
      <c r="B44" s="61"/>
      <c r="C44" s="61"/>
      <c r="D44" s="61"/>
      <c r="E44" s="61"/>
      <c r="F44" s="61"/>
      <c r="G44" s="62"/>
      <c r="H44" s="62"/>
      <c r="I44" s="61"/>
      <c r="J44" s="61"/>
      <c r="K44" s="65"/>
      <c r="L44" s="65"/>
      <c r="M44" s="61"/>
      <c r="P44" s="46"/>
    </row>
    <row r="45" spans="1:16" ht="15">
      <c r="A45" s="59">
        <f t="shared" si="0"/>
        <v>44</v>
      </c>
      <c r="B45" s="61"/>
      <c r="C45" s="61"/>
      <c r="D45" s="61"/>
      <c r="E45" s="61"/>
      <c r="F45" s="61"/>
      <c r="G45" s="63"/>
      <c r="H45" s="63"/>
      <c r="I45" s="61"/>
      <c r="J45" s="66"/>
      <c r="K45" s="67"/>
      <c r="L45" s="67"/>
      <c r="M45" s="66"/>
    </row>
    <row r="46" spans="1:16" ht="15">
      <c r="A46" s="59">
        <f t="shared" si="0"/>
        <v>45</v>
      </c>
      <c r="B46" s="61"/>
      <c r="C46" s="61"/>
      <c r="D46" s="61"/>
      <c r="E46" s="61"/>
      <c r="F46" s="61"/>
      <c r="G46" s="63"/>
      <c r="H46" s="63"/>
      <c r="I46" s="61"/>
      <c r="J46" s="66"/>
      <c r="K46" s="67"/>
      <c r="L46" s="67"/>
      <c r="M46" s="66"/>
    </row>
    <row r="47" spans="1:16" ht="15">
      <c r="A47" s="59">
        <f t="shared" si="0"/>
        <v>46</v>
      </c>
      <c r="B47" s="61"/>
      <c r="C47" s="61"/>
      <c r="D47" s="61"/>
      <c r="E47" s="61"/>
      <c r="F47" s="61"/>
      <c r="G47" s="63"/>
      <c r="H47" s="63"/>
      <c r="I47" s="61"/>
      <c r="J47" s="66"/>
      <c r="K47" s="67"/>
      <c r="L47" s="67"/>
      <c r="M47" s="66"/>
    </row>
    <row r="48" spans="1:16" ht="15">
      <c r="A48" s="59">
        <f t="shared" si="0"/>
        <v>47</v>
      </c>
      <c r="B48" s="61"/>
      <c r="C48" s="61"/>
      <c r="D48" s="61"/>
      <c r="E48" s="61"/>
      <c r="F48" s="61"/>
      <c r="G48" s="63"/>
      <c r="H48" s="63"/>
      <c r="I48" s="61"/>
      <c r="J48" s="66"/>
      <c r="K48" s="67"/>
      <c r="L48" s="67"/>
      <c r="M48" s="66"/>
    </row>
    <row r="49" spans="1:13" ht="15">
      <c r="A49" s="59">
        <f t="shared" si="0"/>
        <v>48</v>
      </c>
      <c r="B49" s="60"/>
      <c r="C49" s="60"/>
      <c r="D49" s="60"/>
      <c r="E49" s="60"/>
      <c r="F49" s="60"/>
      <c r="G49" s="63"/>
      <c r="H49" s="63"/>
      <c r="I49" s="60"/>
      <c r="J49" s="66"/>
      <c r="K49" s="67"/>
      <c r="L49" s="67"/>
      <c r="M49" s="66"/>
    </row>
    <row r="50" spans="1:13" ht="15">
      <c r="A50" s="59">
        <f t="shared" si="0"/>
        <v>49</v>
      </c>
      <c r="B50" s="60"/>
      <c r="C50" s="60"/>
      <c r="D50" s="60"/>
      <c r="E50" s="60"/>
      <c r="F50" s="60"/>
      <c r="G50" s="63"/>
      <c r="H50" s="63"/>
      <c r="I50" s="60"/>
      <c r="J50" s="66"/>
      <c r="K50" s="67"/>
      <c r="L50" s="67"/>
      <c r="M50" s="66"/>
    </row>
    <row r="51" spans="1:13" ht="15">
      <c r="A51" s="59">
        <f t="shared" si="0"/>
        <v>50</v>
      </c>
      <c r="B51" s="60"/>
      <c r="C51" s="60"/>
      <c r="D51" s="60"/>
      <c r="E51" s="60"/>
      <c r="F51" s="60"/>
      <c r="G51" s="63"/>
      <c r="H51" s="63"/>
      <c r="I51" s="60"/>
      <c r="J51" s="66"/>
      <c r="K51" s="67"/>
      <c r="L51" s="67"/>
      <c r="M51" s="66"/>
    </row>
    <row r="52" spans="1:13" ht="15">
      <c r="A52" s="59">
        <f t="shared" si="0"/>
        <v>51</v>
      </c>
      <c r="B52" s="60"/>
      <c r="C52" s="60"/>
      <c r="D52" s="60"/>
      <c r="E52" s="60"/>
      <c r="F52" s="60"/>
      <c r="G52" s="63"/>
      <c r="H52" s="63"/>
      <c r="I52" s="60"/>
      <c r="J52" s="66"/>
      <c r="K52" s="67"/>
      <c r="L52" s="67"/>
      <c r="M52" s="66"/>
    </row>
    <row r="53" spans="1:13" ht="15">
      <c r="A53" s="59">
        <f t="shared" si="0"/>
        <v>52</v>
      </c>
      <c r="B53" s="60"/>
      <c r="C53" s="60"/>
      <c r="D53" s="60"/>
      <c r="E53" s="60"/>
      <c r="F53" s="60"/>
      <c r="G53" s="63"/>
      <c r="H53" s="63"/>
      <c r="I53" s="60"/>
      <c r="J53" s="66"/>
      <c r="K53" s="67"/>
      <c r="L53" s="67"/>
      <c r="M53" s="66"/>
    </row>
    <row r="54" spans="1:13" ht="15">
      <c r="A54" s="59">
        <f t="shared" si="0"/>
        <v>53</v>
      </c>
      <c r="B54" s="60"/>
      <c r="C54" s="60"/>
      <c r="D54" s="60"/>
      <c r="E54" s="60"/>
      <c r="F54" s="60"/>
      <c r="G54" s="63"/>
      <c r="H54" s="63"/>
      <c r="I54" s="60"/>
      <c r="J54" s="66"/>
      <c r="K54" s="67"/>
      <c r="L54" s="67"/>
      <c r="M54" s="66"/>
    </row>
    <row r="55" spans="1:13" ht="15">
      <c r="A55" s="59">
        <f t="shared" si="0"/>
        <v>54</v>
      </c>
      <c r="B55" s="60"/>
      <c r="C55" s="60"/>
      <c r="D55" s="60"/>
      <c r="E55" s="60"/>
      <c r="F55" s="60"/>
      <c r="G55" s="63"/>
      <c r="H55" s="63"/>
      <c r="I55" s="60"/>
      <c r="J55" s="66"/>
      <c r="K55" s="67"/>
      <c r="L55" s="67"/>
      <c r="M55" s="66"/>
    </row>
    <row r="56" spans="1:13" ht="15">
      <c r="A56" s="59">
        <f t="shared" si="0"/>
        <v>55</v>
      </c>
      <c r="B56" s="60"/>
      <c r="C56" s="60"/>
      <c r="D56" s="60"/>
      <c r="E56" s="60"/>
      <c r="F56" s="60"/>
      <c r="G56" s="63"/>
      <c r="H56" s="63"/>
      <c r="I56" s="60"/>
      <c r="J56" s="66"/>
      <c r="K56" s="67"/>
      <c r="L56" s="67"/>
      <c r="M56" s="66"/>
    </row>
    <row r="57" spans="1:13" ht="15">
      <c r="A57" s="59">
        <f t="shared" si="0"/>
        <v>56</v>
      </c>
      <c r="B57" s="60"/>
      <c r="C57" s="60"/>
      <c r="D57" s="60"/>
      <c r="E57" s="60"/>
      <c r="F57" s="60"/>
      <c r="G57" s="63"/>
      <c r="H57" s="63"/>
      <c r="I57" s="60"/>
      <c r="J57" s="66"/>
      <c r="K57" s="67"/>
      <c r="L57" s="67"/>
      <c r="M57" s="66"/>
    </row>
    <row r="58" spans="1:13" ht="15">
      <c r="A58" s="59">
        <f t="shared" si="0"/>
        <v>57</v>
      </c>
      <c r="B58" s="60"/>
      <c r="C58" s="60"/>
      <c r="D58" s="60"/>
      <c r="E58" s="60"/>
      <c r="F58" s="60"/>
      <c r="G58" s="63"/>
      <c r="H58" s="63"/>
      <c r="I58" s="60"/>
      <c r="J58" s="66"/>
      <c r="K58" s="67"/>
      <c r="L58" s="67"/>
      <c r="M58" s="66"/>
    </row>
    <row r="59" spans="1:13" ht="15">
      <c r="A59" s="59">
        <f t="shared" si="0"/>
        <v>58</v>
      </c>
      <c r="B59" s="60"/>
      <c r="C59" s="60"/>
      <c r="D59" s="60"/>
      <c r="E59" s="60"/>
      <c r="F59" s="60"/>
      <c r="G59" s="63"/>
      <c r="H59" s="63"/>
      <c r="I59" s="60"/>
      <c r="J59" s="66"/>
      <c r="K59" s="67"/>
      <c r="L59" s="67"/>
      <c r="M59" s="66"/>
    </row>
    <row r="60" spans="1:13" ht="15">
      <c r="A60" s="59">
        <f t="shared" si="0"/>
        <v>59</v>
      </c>
      <c r="B60" s="60"/>
      <c r="C60" s="60"/>
      <c r="D60" s="60"/>
      <c r="E60" s="60"/>
      <c r="F60" s="60"/>
      <c r="G60" s="63"/>
      <c r="H60" s="63"/>
      <c r="I60" s="60"/>
      <c r="J60" s="66"/>
      <c r="K60" s="67"/>
      <c r="L60" s="67"/>
      <c r="M60" s="66"/>
    </row>
    <row r="61" spans="1:13" ht="15">
      <c r="A61" s="59">
        <f t="shared" si="0"/>
        <v>60</v>
      </c>
      <c r="B61" s="60"/>
      <c r="C61" s="60"/>
      <c r="D61" s="60"/>
      <c r="E61" s="60"/>
      <c r="F61" s="60"/>
      <c r="G61" s="63"/>
      <c r="H61" s="63"/>
      <c r="I61" s="60"/>
      <c r="J61" s="66"/>
      <c r="K61" s="67"/>
      <c r="L61" s="67"/>
      <c r="M61" s="66"/>
    </row>
    <row r="62" spans="1:13" ht="15">
      <c r="A62" s="59">
        <f t="shared" si="0"/>
        <v>61</v>
      </c>
      <c r="B62" s="60"/>
      <c r="C62" s="60"/>
      <c r="D62" s="61"/>
      <c r="E62" s="61"/>
      <c r="F62" s="63"/>
      <c r="G62" s="63"/>
      <c r="H62" s="63"/>
      <c r="I62" s="66"/>
      <c r="J62" s="66"/>
      <c r="K62" s="67"/>
      <c r="L62" s="67"/>
      <c r="M62" s="66"/>
    </row>
    <row r="63" spans="1:13" ht="15">
      <c r="A63" s="59">
        <f t="shared" si="0"/>
        <v>62</v>
      </c>
      <c r="B63" s="60"/>
      <c r="C63" s="60"/>
      <c r="D63" s="61"/>
      <c r="E63" s="61"/>
      <c r="F63" s="63"/>
      <c r="G63" s="63"/>
      <c r="H63" s="63"/>
      <c r="I63" s="66"/>
      <c r="J63" s="66"/>
      <c r="K63" s="67"/>
      <c r="L63" s="67"/>
      <c r="M63" s="66"/>
    </row>
    <row r="64" spans="1:13" ht="15">
      <c r="A64" s="59">
        <f t="shared" si="0"/>
        <v>63</v>
      </c>
      <c r="B64" s="60"/>
      <c r="C64" s="60"/>
      <c r="D64" s="61"/>
      <c r="E64" s="61"/>
      <c r="F64" s="63"/>
      <c r="G64" s="63"/>
      <c r="H64" s="63"/>
      <c r="I64" s="66"/>
      <c r="J64" s="66"/>
      <c r="K64" s="67"/>
      <c r="L64" s="67"/>
      <c r="M64" s="66"/>
    </row>
    <row r="65" spans="1:13" ht="15">
      <c r="A65" s="59">
        <f t="shared" si="0"/>
        <v>64</v>
      </c>
      <c r="B65" s="60"/>
      <c r="C65" s="60"/>
      <c r="D65" s="61"/>
      <c r="E65" s="61"/>
      <c r="F65" s="63"/>
      <c r="G65" s="63"/>
      <c r="H65" s="63"/>
      <c r="I65" s="66"/>
      <c r="J65" s="66"/>
      <c r="K65" s="67"/>
      <c r="L65" s="67"/>
      <c r="M65" s="66"/>
    </row>
    <row r="66" spans="1:13" ht="15">
      <c r="A66" s="59">
        <f t="shared" si="0"/>
        <v>65</v>
      </c>
      <c r="B66" s="60"/>
      <c r="C66" s="60"/>
      <c r="D66" s="61"/>
      <c r="E66" s="61"/>
      <c r="F66" s="63"/>
      <c r="G66" s="63"/>
      <c r="H66" s="63"/>
      <c r="I66" s="66"/>
      <c r="J66" s="66"/>
      <c r="K66" s="67"/>
      <c r="L66" s="67"/>
      <c r="M66" s="66"/>
    </row>
    <row r="67" spans="1:13" ht="15">
      <c r="A67" s="59">
        <f t="shared" si="0"/>
        <v>66</v>
      </c>
      <c r="B67" s="60"/>
      <c r="C67" s="60"/>
      <c r="D67" s="61"/>
      <c r="E67" s="61"/>
      <c r="F67" s="63"/>
      <c r="G67" s="63"/>
      <c r="H67" s="63"/>
      <c r="I67" s="66"/>
      <c r="J67" s="66"/>
      <c r="K67" s="67"/>
      <c r="L67" s="67"/>
      <c r="M67" s="66"/>
    </row>
    <row r="68" spans="1:13" ht="15">
      <c r="A68" s="59">
        <f t="shared" si="0"/>
        <v>67</v>
      </c>
      <c r="B68" s="60"/>
      <c r="C68" s="60"/>
      <c r="D68" s="61"/>
      <c r="E68" s="61"/>
      <c r="F68" s="63"/>
      <c r="G68" s="63"/>
      <c r="H68" s="63"/>
      <c r="I68" s="66"/>
      <c r="J68" s="66"/>
      <c r="K68" s="67"/>
      <c r="L68" s="67"/>
      <c r="M68" s="66"/>
    </row>
    <row r="69" spans="1:13" ht="15">
      <c r="A69" s="59">
        <f t="shared" si="0"/>
        <v>68</v>
      </c>
      <c r="B69" s="60"/>
      <c r="C69" s="60"/>
      <c r="D69" s="61"/>
      <c r="E69" s="61"/>
      <c r="F69" s="63"/>
      <c r="G69" s="63"/>
      <c r="H69" s="63"/>
      <c r="I69" s="66"/>
      <c r="J69" s="66"/>
      <c r="K69" s="67"/>
      <c r="L69" s="67"/>
      <c r="M69" s="66"/>
    </row>
    <row r="70" spans="1:13" ht="15">
      <c r="A70" s="59">
        <f t="shared" si="0"/>
        <v>69</v>
      </c>
      <c r="B70" s="60"/>
      <c r="C70" s="60"/>
      <c r="D70" s="61"/>
      <c r="E70" s="61"/>
      <c r="F70" s="63"/>
      <c r="G70" s="63"/>
      <c r="H70" s="63"/>
      <c r="I70" s="66"/>
      <c r="J70" s="66"/>
      <c r="K70" s="67"/>
      <c r="L70" s="67"/>
      <c r="M70" s="66"/>
    </row>
    <row r="71" spans="1:13" ht="15">
      <c r="A71" s="59">
        <f t="shared" ref="A71:A74" si="1">ROW()-1</f>
        <v>70</v>
      </c>
      <c r="B71" s="60"/>
      <c r="C71" s="60"/>
      <c r="D71" s="61"/>
      <c r="E71" s="61"/>
      <c r="F71" s="63"/>
      <c r="G71" s="63"/>
      <c r="H71" s="63"/>
      <c r="I71" s="66"/>
      <c r="J71" s="66"/>
      <c r="K71" s="67"/>
      <c r="L71" s="67"/>
      <c r="M71" s="66"/>
    </row>
    <row r="72" spans="1:13" ht="15">
      <c r="A72" s="59">
        <f t="shared" si="1"/>
        <v>71</v>
      </c>
      <c r="B72" s="60"/>
      <c r="C72" s="60"/>
      <c r="D72" s="61"/>
      <c r="E72" s="61"/>
      <c r="F72" s="63"/>
      <c r="G72" s="63"/>
      <c r="H72" s="63"/>
      <c r="I72" s="66"/>
      <c r="J72" s="66"/>
      <c r="K72" s="67"/>
      <c r="L72" s="67"/>
      <c r="M72" s="66"/>
    </row>
    <row r="73" spans="1:13" ht="15">
      <c r="A73" s="59">
        <f t="shared" si="1"/>
        <v>72</v>
      </c>
      <c r="B73" s="60"/>
      <c r="C73" s="60"/>
      <c r="D73" s="61"/>
      <c r="E73" s="61"/>
      <c r="F73" s="63"/>
      <c r="G73" s="63"/>
      <c r="H73" s="63"/>
      <c r="I73" s="66"/>
      <c r="J73" s="66"/>
      <c r="K73" s="67"/>
      <c r="L73" s="67"/>
      <c r="M73" s="66"/>
    </row>
    <row r="74" spans="1:13" ht="15">
      <c r="A74" s="59">
        <f t="shared" si="1"/>
        <v>73</v>
      </c>
      <c r="B74" s="60"/>
      <c r="C74" s="60"/>
      <c r="D74" s="61"/>
      <c r="E74" s="61"/>
      <c r="F74" s="63"/>
      <c r="G74" s="63"/>
      <c r="H74" s="63"/>
      <c r="I74" s="66"/>
      <c r="J74" s="66"/>
      <c r="K74" s="67"/>
      <c r="L74" s="67"/>
      <c r="M74" s="66"/>
    </row>
    <row r="75" spans="1:13">
      <c r="B75" s="68"/>
      <c r="C75" s="68"/>
      <c r="D75" s="69"/>
      <c r="E75" s="69"/>
      <c r="F75" s="70"/>
      <c r="G75" s="70"/>
      <c r="H75" s="70"/>
      <c r="I75" s="71"/>
      <c r="J75" s="71"/>
      <c r="K75" s="72"/>
      <c r="L75" s="72"/>
      <c r="M75" s="71"/>
    </row>
  </sheetData>
  <phoneticPr fontId="38" type="noConversion"/>
  <pageMargins left="0.69930555555555596" right="0.69930555555555596" top="0.75" bottom="0.75" header="0.3" footer="0.3"/>
  <pageSetup paperSize="9" orientation="portrait" horizontalDpi="180" verticalDpi="18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Pict="0" macro="[0]!CreateSheet">
                <anchor moveWithCells="1" sizeWithCells="1">
                  <from>
                    <xdr:col>8</xdr:col>
                    <xdr:colOff>123825</xdr:colOff>
                    <xdr:row>0</xdr:row>
                    <xdr:rowOff>9525</xdr:rowOff>
                  </from>
                  <to>
                    <xdr:col>8</xdr:col>
                    <xdr:colOff>1190625</xdr:colOff>
                    <xdr:row>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K84"/>
  <sheetViews>
    <sheetView workbookViewId="0">
      <pane xSplit="3" ySplit="3" topLeftCell="D4" activePane="bottomRight" state="frozen"/>
      <selection pane="topRight"/>
      <selection pane="bottomLeft"/>
      <selection pane="bottomRight" activeCell="B7" sqref="B7"/>
    </sheetView>
  </sheetViews>
  <sheetFormatPr defaultColWidth="8.875" defaultRowHeight="13.5"/>
  <cols>
    <col min="1" max="1" width="6.875" style="25" customWidth="1"/>
    <col min="2" max="2" width="29.75" style="28" customWidth="1"/>
    <col min="3" max="3" width="37.125" style="29" customWidth="1"/>
    <col min="4" max="4" width="54.375" style="29" customWidth="1"/>
    <col min="5" max="8" width="10.375" style="29" customWidth="1"/>
    <col min="9" max="9" width="10.875" style="29" customWidth="1"/>
    <col min="10" max="10" width="10.5" style="29" customWidth="1"/>
    <col min="11" max="11" width="31.875" style="30" customWidth="1"/>
    <col min="12" max="16384" width="8.875" style="29"/>
  </cols>
  <sheetData>
    <row r="1" spans="1:11">
      <c r="A1" s="25" t="s">
        <v>244</v>
      </c>
    </row>
    <row r="3" spans="1:11" ht="27.75" customHeight="1">
      <c r="A3" s="31" t="s">
        <v>116</v>
      </c>
      <c r="B3" s="32" t="s">
        <v>28</v>
      </c>
      <c r="C3" s="32" t="s">
        <v>245</v>
      </c>
      <c r="D3" s="32" t="s">
        <v>121</v>
      </c>
      <c r="E3" s="32" t="s">
        <v>32</v>
      </c>
      <c r="F3" s="32" t="s">
        <v>246</v>
      </c>
      <c r="G3" s="32" t="s">
        <v>247</v>
      </c>
      <c r="H3" s="32" t="s">
        <v>248</v>
      </c>
      <c r="I3" s="45" t="s">
        <v>122</v>
      </c>
      <c r="J3" s="45" t="s">
        <v>123</v>
      </c>
    </row>
    <row r="4" spans="1:11" s="25" customFormat="1">
      <c r="A4" s="33">
        <f t="shared" ref="A4:A49" si="0">ROW()-3</f>
        <v>1</v>
      </c>
      <c r="B4" s="34" t="s">
        <v>249</v>
      </c>
      <c r="C4" s="35" t="s">
        <v>250</v>
      </c>
      <c r="D4" s="36" t="s">
        <v>251</v>
      </c>
      <c r="E4" s="37" t="s">
        <v>33</v>
      </c>
      <c r="F4" s="38"/>
      <c r="G4" s="38"/>
      <c r="H4" s="38"/>
      <c r="I4" s="38"/>
      <c r="J4" s="33"/>
      <c r="K4" s="46"/>
    </row>
    <row r="5" spans="1:11" s="25" customFormat="1">
      <c r="A5" s="33">
        <f t="shared" si="0"/>
        <v>2</v>
      </c>
      <c r="B5" s="34" t="s">
        <v>132</v>
      </c>
      <c r="C5" s="39" t="s">
        <v>134</v>
      </c>
      <c r="D5" s="36" t="s">
        <v>135</v>
      </c>
      <c r="E5" s="37" t="s">
        <v>33</v>
      </c>
      <c r="F5" s="38"/>
      <c r="G5" s="38"/>
      <c r="H5" s="38"/>
      <c r="I5" s="38"/>
      <c r="J5" s="33"/>
      <c r="K5" s="46"/>
    </row>
    <row r="6" spans="1:11" s="25" customFormat="1">
      <c r="A6" s="33">
        <f t="shared" si="0"/>
        <v>3</v>
      </c>
      <c r="B6" s="34" t="s">
        <v>138</v>
      </c>
      <c r="C6" s="39" t="s">
        <v>140</v>
      </c>
      <c r="D6" s="36" t="s">
        <v>141</v>
      </c>
      <c r="E6" s="37" t="s">
        <v>33</v>
      </c>
      <c r="F6" s="37"/>
      <c r="G6" s="40"/>
      <c r="H6" s="40"/>
      <c r="I6" s="38"/>
      <c r="J6" s="33"/>
      <c r="K6" s="46"/>
    </row>
    <row r="7" spans="1:11" s="25" customFormat="1">
      <c r="A7" s="33">
        <f t="shared" si="0"/>
        <v>4</v>
      </c>
      <c r="B7" s="41" t="s">
        <v>143</v>
      </c>
      <c r="C7" s="39" t="s">
        <v>145</v>
      </c>
      <c r="D7" s="36" t="s">
        <v>146</v>
      </c>
      <c r="E7" s="37" t="s">
        <v>252</v>
      </c>
      <c r="F7" s="37"/>
      <c r="G7" s="40"/>
      <c r="H7" s="40"/>
      <c r="I7" s="38"/>
      <c r="J7" s="33"/>
      <c r="K7" s="46"/>
    </row>
    <row r="8" spans="1:11" s="25" customFormat="1">
      <c r="A8" s="33">
        <f t="shared" si="0"/>
        <v>5</v>
      </c>
      <c r="B8" s="34" t="s">
        <v>147</v>
      </c>
      <c r="C8" s="39" t="s">
        <v>149</v>
      </c>
      <c r="D8" s="42" t="s">
        <v>150</v>
      </c>
      <c r="E8" s="37" t="s">
        <v>252</v>
      </c>
      <c r="F8" s="37"/>
      <c r="G8" s="40"/>
      <c r="H8" s="40"/>
      <c r="I8" s="38"/>
      <c r="J8" s="33"/>
      <c r="K8" s="46"/>
    </row>
    <row r="9" spans="1:11" s="25" customFormat="1">
      <c r="A9" s="33">
        <f t="shared" si="0"/>
        <v>6</v>
      </c>
      <c r="B9" s="34" t="s">
        <v>151</v>
      </c>
      <c r="C9" s="39" t="s">
        <v>153</v>
      </c>
      <c r="D9" s="42" t="s">
        <v>154</v>
      </c>
      <c r="E9" s="37" t="s">
        <v>252</v>
      </c>
      <c r="F9" s="37"/>
      <c r="G9" s="40"/>
      <c r="H9" s="40"/>
      <c r="I9" s="38"/>
      <c r="J9" s="33"/>
      <c r="K9" s="46"/>
    </row>
    <row r="10" spans="1:11" s="25" customFormat="1">
      <c r="A10" s="33">
        <f t="shared" si="0"/>
        <v>7</v>
      </c>
      <c r="B10" s="34" t="s">
        <v>155</v>
      </c>
      <c r="C10" s="39" t="s">
        <v>157</v>
      </c>
      <c r="D10" s="42" t="s">
        <v>158</v>
      </c>
      <c r="E10" s="37" t="s">
        <v>252</v>
      </c>
      <c r="F10" s="37"/>
      <c r="G10" s="40"/>
      <c r="H10" s="40"/>
      <c r="I10" s="38"/>
      <c r="J10" s="33"/>
      <c r="K10" s="46"/>
    </row>
    <row r="11" spans="1:11" s="25" customFormat="1">
      <c r="A11" s="33">
        <f t="shared" si="0"/>
        <v>8</v>
      </c>
      <c r="B11" s="34" t="s">
        <v>160</v>
      </c>
      <c r="C11" s="39" t="s">
        <v>162</v>
      </c>
      <c r="D11" s="42" t="s">
        <v>163</v>
      </c>
      <c r="E11" s="37" t="s">
        <v>252</v>
      </c>
      <c r="F11" s="37"/>
      <c r="G11" s="40"/>
      <c r="H11" s="40"/>
      <c r="I11" s="38"/>
      <c r="J11" s="33"/>
      <c r="K11" s="46"/>
    </row>
    <row r="12" spans="1:11" s="25" customFormat="1">
      <c r="A12" s="33">
        <f t="shared" si="0"/>
        <v>9</v>
      </c>
      <c r="B12" s="34" t="s">
        <v>165</v>
      </c>
      <c r="C12" s="43" t="s">
        <v>167</v>
      </c>
      <c r="D12" s="36" t="s">
        <v>168</v>
      </c>
      <c r="E12" s="37" t="s">
        <v>252</v>
      </c>
      <c r="F12" s="37"/>
      <c r="G12" s="38"/>
      <c r="H12" s="38"/>
      <c r="I12" s="38"/>
      <c r="J12" s="31"/>
      <c r="K12" s="46"/>
    </row>
    <row r="13" spans="1:11" s="25" customFormat="1">
      <c r="A13" s="33">
        <f t="shared" si="0"/>
        <v>10</v>
      </c>
      <c r="B13" s="34" t="s">
        <v>169</v>
      </c>
      <c r="C13" s="43" t="s">
        <v>171</v>
      </c>
      <c r="D13" s="36" t="s">
        <v>172</v>
      </c>
      <c r="E13" s="37" t="s">
        <v>252</v>
      </c>
      <c r="F13" s="37"/>
      <c r="G13" s="40"/>
      <c r="H13" s="40"/>
      <c r="I13" s="38"/>
      <c r="J13" s="33"/>
      <c r="K13" s="46"/>
    </row>
    <row r="14" spans="1:11" s="25" customFormat="1">
      <c r="A14" s="33">
        <f t="shared" si="0"/>
        <v>11</v>
      </c>
      <c r="B14" s="34" t="s">
        <v>173</v>
      </c>
      <c r="C14" s="43" t="s">
        <v>175</v>
      </c>
      <c r="D14" s="36" t="s">
        <v>176</v>
      </c>
      <c r="E14" s="37" t="s">
        <v>252</v>
      </c>
      <c r="F14" s="37"/>
      <c r="G14" s="40"/>
      <c r="H14" s="40"/>
      <c r="I14" s="38"/>
      <c r="J14" s="31"/>
      <c r="K14" s="46"/>
    </row>
    <row r="15" spans="1:11" s="25" customFormat="1">
      <c r="A15" s="33">
        <f t="shared" si="0"/>
        <v>12</v>
      </c>
      <c r="B15" s="34" t="s">
        <v>177</v>
      </c>
      <c r="C15" s="39" t="s">
        <v>179</v>
      </c>
      <c r="D15" s="42" t="s">
        <v>180</v>
      </c>
      <c r="E15" s="37" t="s">
        <v>252</v>
      </c>
      <c r="F15" s="37"/>
      <c r="G15" s="38"/>
      <c r="H15" s="38"/>
      <c r="I15" s="38"/>
      <c r="J15" s="31"/>
      <c r="K15" s="46"/>
    </row>
    <row r="16" spans="1:11" s="25" customFormat="1">
      <c r="A16" s="33">
        <f t="shared" si="0"/>
        <v>13</v>
      </c>
      <c r="B16" s="34" t="s">
        <v>182</v>
      </c>
      <c r="C16" s="39" t="s">
        <v>184</v>
      </c>
      <c r="D16" s="36" t="s">
        <v>185</v>
      </c>
      <c r="E16" s="37" t="s">
        <v>252</v>
      </c>
      <c r="F16" s="37"/>
      <c r="G16" s="40"/>
      <c r="H16" s="40"/>
      <c r="I16" s="38"/>
      <c r="J16" s="33"/>
      <c r="K16" s="46"/>
    </row>
    <row r="17" spans="1:11" s="25" customFormat="1">
      <c r="A17" s="33">
        <f t="shared" si="0"/>
        <v>14</v>
      </c>
      <c r="B17" s="34" t="s">
        <v>188</v>
      </c>
      <c r="C17" s="43" t="s">
        <v>190</v>
      </c>
      <c r="D17" s="42" t="s">
        <v>191</v>
      </c>
      <c r="E17" s="37" t="s">
        <v>252</v>
      </c>
      <c r="F17" s="37"/>
      <c r="G17" s="40"/>
      <c r="H17" s="40"/>
      <c r="I17" s="38"/>
      <c r="J17" s="31"/>
      <c r="K17" s="46"/>
    </row>
    <row r="18" spans="1:11" s="25" customFormat="1">
      <c r="A18" s="33">
        <f t="shared" si="0"/>
        <v>15</v>
      </c>
      <c r="B18" s="34" t="s">
        <v>193</v>
      </c>
      <c r="C18" s="43" t="s">
        <v>195</v>
      </c>
      <c r="D18" s="42" t="s">
        <v>253</v>
      </c>
      <c r="E18" s="37" t="s">
        <v>252</v>
      </c>
      <c r="F18" s="37"/>
      <c r="G18" s="40"/>
      <c r="H18" s="40"/>
      <c r="I18" s="38"/>
      <c r="J18" s="31"/>
      <c r="K18" s="46"/>
    </row>
    <row r="19" spans="1:11" s="25" customFormat="1">
      <c r="A19" s="33">
        <f t="shared" si="0"/>
        <v>16</v>
      </c>
      <c r="B19" s="34" t="s">
        <v>198</v>
      </c>
      <c r="C19" s="39" t="s">
        <v>200</v>
      </c>
      <c r="D19" s="36" t="s">
        <v>201</v>
      </c>
      <c r="E19" s="37" t="s">
        <v>252</v>
      </c>
      <c r="F19" s="37"/>
      <c r="G19" s="38"/>
      <c r="H19" s="38"/>
      <c r="I19" s="38"/>
      <c r="J19" s="33"/>
      <c r="K19" s="46"/>
    </row>
    <row r="20" spans="1:11" s="25" customFormat="1">
      <c r="A20" s="33">
        <f t="shared" si="0"/>
        <v>17</v>
      </c>
      <c r="B20" s="34" t="s">
        <v>203</v>
      </c>
      <c r="C20" s="39" t="s">
        <v>190</v>
      </c>
      <c r="D20" s="36" t="s">
        <v>204</v>
      </c>
      <c r="E20" s="37" t="s">
        <v>252</v>
      </c>
      <c r="F20" s="37"/>
      <c r="G20" s="40"/>
      <c r="H20" s="40"/>
      <c r="I20" s="38"/>
      <c r="J20" s="33"/>
      <c r="K20" s="46"/>
    </row>
    <row r="21" spans="1:11" s="25" customFormat="1">
      <c r="A21" s="33">
        <f t="shared" si="0"/>
        <v>18</v>
      </c>
      <c r="B21" s="34" t="s">
        <v>206</v>
      </c>
      <c r="C21" s="39" t="s">
        <v>208</v>
      </c>
      <c r="D21" s="36" t="s">
        <v>209</v>
      </c>
      <c r="E21" s="37" t="s">
        <v>252</v>
      </c>
      <c r="F21" s="37"/>
      <c r="G21" s="38"/>
      <c r="H21" s="38"/>
      <c r="I21" s="38"/>
      <c r="J21" s="33"/>
      <c r="K21" s="46"/>
    </row>
    <row r="22" spans="1:11" s="25" customFormat="1">
      <c r="A22" s="33">
        <f t="shared" si="0"/>
        <v>19</v>
      </c>
      <c r="B22" s="34" t="s">
        <v>210</v>
      </c>
      <c r="C22" s="39" t="s">
        <v>212</v>
      </c>
      <c r="D22" s="36" t="s">
        <v>213</v>
      </c>
      <c r="E22" s="37" t="s">
        <v>252</v>
      </c>
      <c r="F22" s="37"/>
      <c r="G22" s="40"/>
      <c r="H22" s="40"/>
      <c r="I22" s="38"/>
      <c r="J22" s="33"/>
      <c r="K22" s="46"/>
    </row>
    <row r="23" spans="1:11" s="25" customFormat="1">
      <c r="A23" s="33">
        <f t="shared" si="0"/>
        <v>20</v>
      </c>
      <c r="B23" s="34" t="s">
        <v>214</v>
      </c>
      <c r="C23" s="39" t="s">
        <v>216</v>
      </c>
      <c r="D23" s="36" t="s">
        <v>217</v>
      </c>
      <c r="E23" s="37" t="s">
        <v>252</v>
      </c>
      <c r="F23" s="37"/>
      <c r="G23" s="40"/>
      <c r="H23" s="40"/>
      <c r="I23" s="38"/>
      <c r="J23" s="33"/>
      <c r="K23" s="46"/>
    </row>
    <row r="24" spans="1:11" s="25" customFormat="1">
      <c r="A24" s="33">
        <f t="shared" si="0"/>
        <v>21</v>
      </c>
      <c r="B24" s="34" t="s">
        <v>218</v>
      </c>
      <c r="C24" s="39" t="s">
        <v>220</v>
      </c>
      <c r="D24" s="36" t="s">
        <v>221</v>
      </c>
      <c r="E24" s="37" t="s">
        <v>252</v>
      </c>
      <c r="F24" s="37"/>
      <c r="G24" s="40"/>
      <c r="H24" s="40"/>
      <c r="I24" s="38"/>
      <c r="J24" s="33"/>
      <c r="K24" s="46"/>
    </row>
    <row r="25" spans="1:11" s="25" customFormat="1">
      <c r="A25" s="33">
        <f t="shared" si="0"/>
        <v>22</v>
      </c>
      <c r="B25" s="34" t="s">
        <v>223</v>
      </c>
      <c r="C25" s="39" t="s">
        <v>225</v>
      </c>
      <c r="D25" s="36" t="s">
        <v>226</v>
      </c>
      <c r="E25" s="37" t="s">
        <v>252</v>
      </c>
      <c r="F25" s="37"/>
      <c r="G25" s="40"/>
      <c r="H25" s="40"/>
      <c r="I25" s="38"/>
      <c r="J25" s="33"/>
      <c r="K25" s="46"/>
    </row>
    <row r="26" spans="1:11" s="25" customFormat="1">
      <c r="A26" s="33">
        <f t="shared" si="0"/>
        <v>23</v>
      </c>
      <c r="B26" s="34" t="s">
        <v>227</v>
      </c>
      <c r="C26" s="39" t="s">
        <v>229</v>
      </c>
      <c r="D26" s="36" t="s">
        <v>230</v>
      </c>
      <c r="E26" s="37" t="s">
        <v>252</v>
      </c>
      <c r="F26" s="37"/>
      <c r="G26" s="40"/>
      <c r="H26" s="40"/>
      <c r="I26" s="38"/>
      <c r="J26" s="33"/>
      <c r="K26" s="46"/>
    </row>
    <row r="27" spans="1:11" s="25" customFormat="1">
      <c r="A27" s="33">
        <f t="shared" si="0"/>
        <v>24</v>
      </c>
      <c r="B27" s="34" t="s">
        <v>231</v>
      </c>
      <c r="C27" s="39" t="s">
        <v>233</v>
      </c>
      <c r="D27" s="36" t="s">
        <v>234</v>
      </c>
      <c r="E27" s="37" t="s">
        <v>252</v>
      </c>
      <c r="F27" s="37"/>
      <c r="G27" s="40"/>
      <c r="H27" s="40"/>
      <c r="I27" s="38"/>
      <c r="J27" s="33"/>
      <c r="K27" s="46"/>
    </row>
    <row r="28" spans="1:11" s="25" customFormat="1">
      <c r="A28" s="33">
        <f t="shared" si="0"/>
        <v>25</v>
      </c>
      <c r="B28" s="34" t="s">
        <v>235</v>
      </c>
      <c r="C28" s="39" t="s">
        <v>237</v>
      </c>
      <c r="D28" s="36" t="s">
        <v>238</v>
      </c>
      <c r="E28" s="37" t="s">
        <v>252</v>
      </c>
      <c r="F28" s="37"/>
      <c r="G28" s="38"/>
      <c r="H28" s="38"/>
      <c r="I28" s="38"/>
      <c r="J28" s="33"/>
      <c r="K28" s="46"/>
    </row>
    <row r="29" spans="1:11" s="26" customFormat="1">
      <c r="A29" s="33">
        <f t="shared" si="0"/>
        <v>26</v>
      </c>
      <c r="B29" s="41" t="s">
        <v>239</v>
      </c>
      <c r="C29" s="39" t="s">
        <v>241</v>
      </c>
      <c r="D29" s="36" t="s">
        <v>242</v>
      </c>
      <c r="E29" s="37" t="s">
        <v>252</v>
      </c>
      <c r="F29" s="37"/>
      <c r="G29" s="38"/>
      <c r="H29" s="38"/>
      <c r="I29" s="38"/>
      <c r="J29" s="33"/>
      <c r="K29" s="47"/>
    </row>
    <row r="30" spans="1:11" s="25" customFormat="1">
      <c r="A30" s="33">
        <f t="shared" si="0"/>
        <v>27</v>
      </c>
      <c r="B30" s="34"/>
      <c r="C30" s="39"/>
      <c r="D30" s="36"/>
      <c r="E30" s="38"/>
      <c r="F30" s="37"/>
      <c r="G30" s="40"/>
      <c r="H30" s="40"/>
      <c r="I30" s="38"/>
      <c r="J30" s="33"/>
      <c r="K30" s="46"/>
    </row>
    <row r="31" spans="1:11" s="25" customFormat="1">
      <c r="A31" s="33">
        <f t="shared" si="0"/>
        <v>28</v>
      </c>
      <c r="B31" s="34"/>
      <c r="C31" s="39"/>
      <c r="D31" s="36"/>
      <c r="E31" s="38"/>
      <c r="F31" s="37"/>
      <c r="G31" s="38"/>
      <c r="H31" s="38"/>
      <c r="I31" s="38"/>
      <c r="J31" s="33"/>
      <c r="K31" s="46"/>
    </row>
    <row r="32" spans="1:11" s="27" customFormat="1">
      <c r="A32" s="33">
        <f t="shared" si="0"/>
        <v>29</v>
      </c>
      <c r="B32" s="34"/>
      <c r="C32" s="39"/>
      <c r="D32" s="36"/>
      <c r="E32" s="38"/>
      <c r="F32" s="37"/>
      <c r="G32" s="40"/>
      <c r="H32" s="40"/>
      <c r="I32" s="48"/>
      <c r="J32" s="49"/>
      <c r="K32" s="50"/>
    </row>
    <row r="33" spans="1:11" s="25" customFormat="1">
      <c r="A33" s="33">
        <f t="shared" si="0"/>
        <v>30</v>
      </c>
      <c r="B33" s="34"/>
      <c r="C33" s="39"/>
      <c r="D33" s="36"/>
      <c r="E33" s="38"/>
      <c r="F33" s="37"/>
      <c r="G33" s="40"/>
      <c r="H33" s="40"/>
      <c r="I33" s="38"/>
      <c r="J33" s="33"/>
      <c r="K33" s="46"/>
    </row>
    <row r="34" spans="1:11" s="25" customFormat="1">
      <c r="A34" s="33">
        <f t="shared" si="0"/>
        <v>31</v>
      </c>
      <c r="B34" s="34"/>
      <c r="C34" s="39"/>
      <c r="D34" s="36"/>
      <c r="E34" s="38"/>
      <c r="F34" s="37"/>
      <c r="G34" s="40"/>
      <c r="H34" s="40"/>
      <c r="I34" s="38"/>
      <c r="J34" s="33"/>
      <c r="K34" s="46"/>
    </row>
    <row r="35" spans="1:11" s="25" customFormat="1">
      <c r="A35" s="33">
        <f t="shared" si="0"/>
        <v>32</v>
      </c>
      <c r="B35" s="34"/>
      <c r="C35" s="39"/>
      <c r="D35" s="36"/>
      <c r="E35" s="38"/>
      <c r="F35" s="37"/>
      <c r="G35" s="38"/>
      <c r="H35" s="38"/>
      <c r="I35" s="38"/>
      <c r="J35" s="33"/>
      <c r="K35" s="46"/>
    </row>
    <row r="36" spans="1:11" s="25" customFormat="1">
      <c r="A36" s="33">
        <f t="shared" si="0"/>
        <v>33</v>
      </c>
      <c r="B36" s="34"/>
      <c r="C36" s="39"/>
      <c r="D36" s="36"/>
      <c r="E36" s="38"/>
      <c r="F36" s="37"/>
      <c r="G36" s="40"/>
      <c r="H36" s="40"/>
      <c r="I36" s="38"/>
      <c r="J36" s="33"/>
      <c r="K36" s="46"/>
    </row>
    <row r="37" spans="1:11" s="25" customFormat="1">
      <c r="A37" s="33">
        <f t="shared" si="0"/>
        <v>34</v>
      </c>
      <c r="B37" s="34"/>
      <c r="C37" s="39"/>
      <c r="D37" s="36"/>
      <c r="E37" s="38"/>
      <c r="F37" s="37"/>
      <c r="G37" s="40"/>
      <c r="H37" s="40"/>
      <c r="I37" s="38"/>
      <c r="J37" s="33"/>
      <c r="K37" s="46"/>
    </row>
    <row r="38" spans="1:11" s="25" customFormat="1">
      <c r="A38" s="33">
        <f t="shared" si="0"/>
        <v>35</v>
      </c>
      <c r="B38" s="34"/>
      <c r="C38" s="43"/>
      <c r="D38" s="36"/>
      <c r="E38" s="38"/>
      <c r="F38" s="37"/>
      <c r="G38" s="40"/>
      <c r="H38" s="40"/>
      <c r="I38" s="38"/>
      <c r="J38" s="33"/>
      <c r="K38" s="46"/>
    </row>
    <row r="39" spans="1:11" s="25" customFormat="1">
      <c r="A39" s="33">
        <f t="shared" si="0"/>
        <v>36</v>
      </c>
      <c r="B39" s="34"/>
      <c r="C39" s="39"/>
      <c r="D39" s="36"/>
      <c r="E39" s="38"/>
      <c r="F39" s="37"/>
      <c r="G39" s="40"/>
      <c r="H39" s="40"/>
      <c r="I39" s="38"/>
      <c r="J39" s="33"/>
      <c r="K39" s="46"/>
    </row>
    <row r="40" spans="1:11" s="25" customFormat="1">
      <c r="A40" s="33">
        <f t="shared" si="0"/>
        <v>37</v>
      </c>
      <c r="B40" s="34"/>
      <c r="C40" s="39"/>
      <c r="D40" s="36"/>
      <c r="E40" s="38"/>
      <c r="F40" s="37"/>
      <c r="G40" s="40"/>
      <c r="H40" s="40"/>
      <c r="I40" s="38"/>
      <c r="J40" s="33"/>
      <c r="K40" s="46"/>
    </row>
    <row r="41" spans="1:11" s="25" customFormat="1">
      <c r="A41" s="33">
        <f t="shared" si="0"/>
        <v>38</v>
      </c>
      <c r="B41" s="34"/>
      <c r="C41" s="43"/>
      <c r="D41" s="36"/>
      <c r="E41" s="38"/>
      <c r="F41" s="37"/>
      <c r="G41" s="40"/>
      <c r="H41" s="40"/>
      <c r="I41" s="38"/>
      <c r="J41" s="33"/>
      <c r="K41" s="46"/>
    </row>
    <row r="42" spans="1:11" s="25" customFormat="1">
      <c r="A42" s="33">
        <f t="shared" si="0"/>
        <v>39</v>
      </c>
      <c r="B42" s="34"/>
      <c r="C42" s="39"/>
      <c r="D42" s="36"/>
      <c r="E42" s="38"/>
      <c r="F42" s="37"/>
      <c r="G42" s="40"/>
      <c r="H42" s="40"/>
      <c r="I42" s="38"/>
      <c r="J42" s="33"/>
      <c r="K42" s="46"/>
    </row>
    <row r="43" spans="1:11" s="25" customFormat="1">
      <c r="A43" s="33">
        <f t="shared" si="0"/>
        <v>40</v>
      </c>
      <c r="B43" s="34"/>
      <c r="C43" s="39"/>
      <c r="D43" s="36"/>
      <c r="E43" s="38"/>
      <c r="F43" s="37"/>
      <c r="G43" s="40"/>
      <c r="H43" s="38"/>
      <c r="I43" s="38"/>
      <c r="J43" s="33"/>
      <c r="K43" s="46"/>
    </row>
    <row r="44" spans="1:11" s="25" customFormat="1">
      <c r="A44" s="33">
        <f t="shared" si="0"/>
        <v>41</v>
      </c>
      <c r="B44" s="34"/>
      <c r="C44" s="39"/>
      <c r="D44" s="36"/>
      <c r="E44" s="38"/>
      <c r="F44" s="37"/>
      <c r="G44" s="40"/>
      <c r="H44" s="38"/>
      <c r="I44" s="38"/>
      <c r="J44" s="33"/>
      <c r="K44" s="46"/>
    </row>
    <row r="45" spans="1:11" s="25" customFormat="1">
      <c r="A45" s="33">
        <f t="shared" si="0"/>
        <v>42</v>
      </c>
      <c r="B45" s="34"/>
      <c r="C45" s="39"/>
      <c r="D45" s="36"/>
      <c r="E45" s="38"/>
      <c r="F45" s="37"/>
      <c r="G45" s="40"/>
      <c r="H45" s="38"/>
      <c r="I45" s="38"/>
      <c r="J45" s="33"/>
      <c r="K45" s="46"/>
    </row>
    <row r="46" spans="1:11" s="25" customFormat="1">
      <c r="A46" s="33">
        <f t="shared" si="0"/>
        <v>43</v>
      </c>
      <c r="B46" s="34"/>
      <c r="C46" s="39"/>
      <c r="D46" s="42"/>
      <c r="E46" s="38"/>
      <c r="F46" s="37"/>
      <c r="G46" s="40"/>
      <c r="H46" s="38"/>
      <c r="I46" s="38"/>
      <c r="J46" s="33"/>
      <c r="K46" s="46"/>
    </row>
    <row r="47" spans="1:11" s="25" customFormat="1">
      <c r="A47" s="33">
        <f t="shared" si="0"/>
        <v>44</v>
      </c>
      <c r="B47" s="34"/>
      <c r="C47" s="43"/>
      <c r="D47" s="42"/>
      <c r="E47" s="38"/>
      <c r="F47" s="38"/>
      <c r="G47" s="40"/>
      <c r="H47" s="38"/>
      <c r="I47" s="38"/>
      <c r="J47" s="33"/>
      <c r="K47" s="46"/>
    </row>
    <row r="48" spans="1:11" s="25" customFormat="1">
      <c r="A48" s="33">
        <f t="shared" si="0"/>
        <v>45</v>
      </c>
      <c r="B48" s="34"/>
      <c r="C48" s="39"/>
      <c r="D48" s="36"/>
      <c r="E48" s="38"/>
      <c r="F48" s="38"/>
      <c r="G48" s="40"/>
      <c r="H48" s="38"/>
      <c r="I48" s="38"/>
      <c r="J48" s="33"/>
      <c r="K48" s="46"/>
    </row>
    <row r="49" spans="1:11" s="25" customFormat="1">
      <c r="A49" s="33">
        <f t="shared" si="0"/>
        <v>46</v>
      </c>
      <c r="B49" s="34"/>
      <c r="C49" s="39"/>
      <c r="D49" s="36"/>
      <c r="E49" s="38"/>
      <c r="F49" s="38"/>
      <c r="G49" s="40"/>
      <c r="H49" s="38"/>
      <c r="I49" s="38"/>
      <c r="J49" s="33"/>
      <c r="K49" s="46"/>
    </row>
    <row r="50" spans="1:11" s="25" customFormat="1">
      <c r="A50" s="33">
        <f t="shared" ref="A50:A78" si="1">ROW()-3</f>
        <v>47</v>
      </c>
      <c r="B50" s="34"/>
      <c r="C50" s="39"/>
      <c r="D50" s="36"/>
      <c r="E50" s="38"/>
      <c r="F50" s="38"/>
      <c r="G50" s="38"/>
      <c r="H50" s="38"/>
      <c r="I50" s="38"/>
      <c r="J50" s="33"/>
      <c r="K50" s="46"/>
    </row>
    <row r="51" spans="1:11" s="25" customFormat="1">
      <c r="A51" s="33">
        <f t="shared" si="1"/>
        <v>48</v>
      </c>
      <c r="B51" s="34"/>
      <c r="C51" s="39"/>
      <c r="D51" s="36"/>
      <c r="E51" s="38"/>
      <c r="F51" s="38"/>
      <c r="G51" s="38"/>
      <c r="H51" s="38"/>
      <c r="I51" s="38"/>
      <c r="J51" s="33"/>
      <c r="K51" s="46"/>
    </row>
    <row r="52" spans="1:11" s="25" customFormat="1">
      <c r="A52" s="33">
        <f t="shared" si="1"/>
        <v>49</v>
      </c>
      <c r="B52" s="34"/>
      <c r="C52" s="39"/>
      <c r="D52" s="36"/>
      <c r="E52" s="38"/>
      <c r="F52" s="38"/>
      <c r="G52" s="38"/>
      <c r="H52" s="38"/>
      <c r="I52" s="38"/>
      <c r="J52" s="33"/>
      <c r="K52" s="46"/>
    </row>
    <row r="53" spans="1:11" s="25" customFormat="1">
      <c r="A53" s="33">
        <f t="shared" si="1"/>
        <v>50</v>
      </c>
      <c r="B53" s="34"/>
      <c r="C53" s="39"/>
      <c r="D53" s="36"/>
      <c r="E53" s="38"/>
      <c r="F53" s="38"/>
      <c r="G53" s="38"/>
      <c r="H53" s="38"/>
      <c r="I53" s="38"/>
      <c r="J53" s="33"/>
      <c r="K53" s="46"/>
    </row>
    <row r="54" spans="1:11" s="25" customFormat="1">
      <c r="A54" s="33">
        <f t="shared" si="1"/>
        <v>51</v>
      </c>
      <c r="B54" s="34"/>
      <c r="C54" s="39"/>
      <c r="D54" s="36"/>
      <c r="E54" s="38"/>
      <c r="F54" s="38"/>
      <c r="G54" s="38"/>
      <c r="H54" s="38"/>
      <c r="I54" s="38"/>
      <c r="J54" s="33"/>
      <c r="K54" s="46"/>
    </row>
    <row r="55" spans="1:11" s="25" customFormat="1">
      <c r="A55" s="33">
        <f t="shared" si="1"/>
        <v>52</v>
      </c>
      <c r="B55" s="34"/>
      <c r="C55" s="39"/>
      <c r="D55" s="36"/>
      <c r="E55" s="38"/>
      <c r="F55" s="38"/>
      <c r="G55" s="38"/>
      <c r="H55" s="38"/>
      <c r="I55" s="38"/>
      <c r="J55" s="33"/>
      <c r="K55" s="46"/>
    </row>
    <row r="56" spans="1:11" s="25" customFormat="1">
      <c r="A56" s="33">
        <f t="shared" si="1"/>
        <v>53</v>
      </c>
      <c r="B56" s="34"/>
      <c r="C56" s="39"/>
      <c r="D56" s="36"/>
      <c r="E56" s="38"/>
      <c r="F56" s="38"/>
      <c r="G56" s="38"/>
      <c r="H56" s="38"/>
      <c r="I56" s="38"/>
      <c r="J56" s="33"/>
      <c r="K56" s="46"/>
    </row>
    <row r="57" spans="1:11" s="25" customFormat="1">
      <c r="A57" s="33">
        <f t="shared" si="1"/>
        <v>54</v>
      </c>
      <c r="B57" s="34"/>
      <c r="C57" s="39"/>
      <c r="D57" s="36"/>
      <c r="E57" s="38"/>
      <c r="F57" s="38"/>
      <c r="G57" s="38"/>
      <c r="H57" s="38"/>
      <c r="I57" s="38"/>
      <c r="J57" s="33"/>
      <c r="K57" s="46"/>
    </row>
    <row r="58" spans="1:11" s="26" customFormat="1">
      <c r="A58" s="33">
        <f t="shared" si="1"/>
        <v>55</v>
      </c>
      <c r="B58" s="34"/>
      <c r="C58" s="39"/>
      <c r="D58" s="36"/>
      <c r="E58" s="38"/>
      <c r="F58" s="44"/>
      <c r="G58" s="44"/>
      <c r="H58" s="44"/>
      <c r="I58" s="44"/>
      <c r="J58" s="51"/>
      <c r="K58" s="47"/>
    </row>
    <row r="59" spans="1:11" s="25" customFormat="1">
      <c r="A59" s="33">
        <f t="shared" si="1"/>
        <v>56</v>
      </c>
      <c r="B59" s="34"/>
      <c r="C59" s="39"/>
      <c r="D59" s="36"/>
      <c r="E59" s="38"/>
      <c r="F59" s="38"/>
      <c r="G59" s="38"/>
      <c r="H59" s="38"/>
      <c r="I59" s="38"/>
      <c r="J59" s="33"/>
      <c r="K59" s="46"/>
    </row>
    <row r="60" spans="1:11" s="25" customFormat="1">
      <c r="A60" s="33">
        <f t="shared" si="1"/>
        <v>57</v>
      </c>
      <c r="B60" s="34"/>
      <c r="C60" s="39"/>
      <c r="D60" s="36"/>
      <c r="E60" s="38"/>
      <c r="F60" s="38"/>
      <c r="G60" s="38"/>
      <c r="H60" s="38"/>
      <c r="I60" s="38"/>
      <c r="J60" s="33"/>
      <c r="K60" s="46"/>
    </row>
    <row r="61" spans="1:11" s="25" customFormat="1">
      <c r="A61" s="33">
        <f t="shared" si="1"/>
        <v>58</v>
      </c>
      <c r="B61" s="34"/>
      <c r="C61" s="39"/>
      <c r="D61" s="36"/>
      <c r="E61" s="38"/>
      <c r="F61" s="38"/>
      <c r="G61" s="38"/>
      <c r="H61" s="38"/>
      <c r="I61" s="38"/>
      <c r="J61" s="33"/>
      <c r="K61" s="46"/>
    </row>
    <row r="62" spans="1:11" s="25" customFormat="1">
      <c r="A62" s="33">
        <f t="shared" si="1"/>
        <v>59</v>
      </c>
      <c r="B62" s="34"/>
      <c r="C62" s="39"/>
      <c r="D62" s="36"/>
      <c r="E62" s="38"/>
      <c r="F62" s="38"/>
      <c r="G62" s="38"/>
      <c r="H62" s="38"/>
      <c r="I62" s="38"/>
      <c r="J62" s="33"/>
      <c r="K62" s="46"/>
    </row>
    <row r="63" spans="1:11" s="25" customFormat="1">
      <c r="A63" s="33">
        <f t="shared" si="1"/>
        <v>60</v>
      </c>
      <c r="B63" s="34"/>
      <c r="C63" s="39"/>
      <c r="D63" s="36"/>
      <c r="E63" s="38"/>
      <c r="F63" s="38"/>
      <c r="G63" s="38"/>
      <c r="H63" s="38"/>
      <c r="I63" s="38"/>
      <c r="J63" s="33"/>
      <c r="K63" s="46"/>
    </row>
    <row r="64" spans="1:11" s="25" customFormat="1">
      <c r="A64" s="33">
        <f t="shared" si="1"/>
        <v>61</v>
      </c>
      <c r="B64" s="34"/>
      <c r="C64" s="39"/>
      <c r="D64" s="36"/>
      <c r="E64" s="38"/>
      <c r="F64" s="38"/>
      <c r="G64" s="38"/>
      <c r="H64" s="38"/>
      <c r="I64" s="38"/>
      <c r="J64" s="33"/>
      <c r="K64" s="46"/>
    </row>
    <row r="65" spans="1:11" s="25" customFormat="1">
      <c r="A65" s="33">
        <f t="shared" si="1"/>
        <v>62</v>
      </c>
      <c r="B65" s="34"/>
      <c r="C65" s="39"/>
      <c r="D65" s="36"/>
      <c r="E65" s="38"/>
      <c r="F65" s="38"/>
      <c r="G65" s="38"/>
      <c r="H65" s="38"/>
      <c r="I65" s="38"/>
      <c r="J65" s="33"/>
      <c r="K65" s="46"/>
    </row>
    <row r="66" spans="1:11" s="25" customFormat="1">
      <c r="A66" s="33">
        <f t="shared" si="1"/>
        <v>63</v>
      </c>
      <c r="B66" s="34"/>
      <c r="C66" s="39"/>
      <c r="D66" s="36"/>
      <c r="E66" s="38"/>
      <c r="F66" s="38"/>
      <c r="G66" s="38"/>
      <c r="H66" s="38"/>
      <c r="I66" s="38"/>
      <c r="J66" s="33"/>
      <c r="K66" s="46"/>
    </row>
    <row r="67" spans="1:11" s="25" customFormat="1">
      <c r="A67" s="33">
        <f t="shared" si="1"/>
        <v>64</v>
      </c>
      <c r="B67" s="34"/>
      <c r="C67" s="39"/>
      <c r="D67" s="36"/>
      <c r="E67" s="38"/>
      <c r="F67" s="38"/>
      <c r="G67" s="38"/>
      <c r="H67" s="38"/>
      <c r="I67" s="38"/>
      <c r="J67" s="33"/>
      <c r="K67" s="46"/>
    </row>
    <row r="68" spans="1:11" s="25" customFormat="1">
      <c r="A68" s="33">
        <f t="shared" si="1"/>
        <v>65</v>
      </c>
      <c r="B68" s="34"/>
      <c r="C68" s="39"/>
      <c r="D68" s="36"/>
      <c r="E68" s="38"/>
      <c r="F68" s="38"/>
      <c r="G68" s="38"/>
      <c r="H68" s="38"/>
      <c r="I68" s="38"/>
      <c r="J68" s="33"/>
      <c r="K68" s="46"/>
    </row>
    <row r="69" spans="1:11" s="25" customFormat="1">
      <c r="A69" s="33">
        <f t="shared" si="1"/>
        <v>66</v>
      </c>
      <c r="B69" s="34"/>
      <c r="C69" s="39"/>
      <c r="D69" s="36"/>
      <c r="E69" s="38"/>
      <c r="F69" s="38"/>
      <c r="G69" s="38"/>
      <c r="H69" s="38"/>
      <c r="I69" s="38"/>
      <c r="J69" s="33"/>
      <c r="K69" s="46"/>
    </row>
    <row r="70" spans="1:11" s="25" customFormat="1">
      <c r="A70" s="33">
        <f t="shared" si="1"/>
        <v>67</v>
      </c>
      <c r="B70" s="34"/>
      <c r="C70" s="39"/>
      <c r="D70" s="36"/>
      <c r="E70" s="38"/>
      <c r="F70" s="38"/>
      <c r="G70" s="38"/>
      <c r="H70" s="38"/>
      <c r="I70" s="38"/>
      <c r="J70" s="33"/>
      <c r="K70" s="46"/>
    </row>
    <row r="71" spans="1:11" s="25" customFormat="1">
      <c r="A71" s="33">
        <f t="shared" si="1"/>
        <v>68</v>
      </c>
      <c r="B71" s="52"/>
      <c r="C71" s="39"/>
      <c r="D71" s="36"/>
      <c r="E71" s="38"/>
      <c r="F71" s="38"/>
      <c r="G71" s="38"/>
      <c r="H71" s="38"/>
      <c r="I71" s="38"/>
      <c r="J71" s="33"/>
      <c r="K71" s="46"/>
    </row>
    <row r="72" spans="1:11" s="25" customFormat="1">
      <c r="A72" s="33">
        <f t="shared" si="1"/>
        <v>69</v>
      </c>
      <c r="B72" s="52"/>
      <c r="C72" s="39"/>
      <c r="D72" s="36"/>
      <c r="E72" s="38"/>
      <c r="F72" s="38"/>
      <c r="G72" s="38"/>
      <c r="H72" s="38"/>
      <c r="I72" s="38"/>
      <c r="J72" s="33"/>
      <c r="K72" s="46"/>
    </row>
    <row r="73" spans="1:11" s="25" customFormat="1">
      <c r="A73" s="33">
        <f t="shared" si="1"/>
        <v>70</v>
      </c>
      <c r="B73" s="52"/>
      <c r="C73" s="39"/>
      <c r="D73" s="36"/>
      <c r="E73" s="38"/>
      <c r="F73" s="38"/>
      <c r="G73" s="38"/>
      <c r="H73" s="38"/>
      <c r="I73" s="38"/>
      <c r="J73" s="33"/>
      <c r="K73" s="46"/>
    </row>
    <row r="74" spans="1:11" s="25" customFormat="1">
      <c r="A74" s="33">
        <f t="shared" si="1"/>
        <v>71</v>
      </c>
      <c r="B74" s="52"/>
      <c r="C74" s="39"/>
      <c r="D74" s="36"/>
      <c r="E74" s="38"/>
      <c r="F74" s="38"/>
      <c r="G74" s="38"/>
      <c r="H74" s="38"/>
      <c r="I74" s="38"/>
      <c r="J74" s="33"/>
      <c r="K74" s="46"/>
    </row>
    <row r="75" spans="1:11" s="25" customFormat="1">
      <c r="A75" s="33">
        <f t="shared" si="1"/>
        <v>72</v>
      </c>
      <c r="B75" s="52"/>
      <c r="C75" s="39"/>
      <c r="D75" s="36"/>
      <c r="E75" s="38"/>
      <c r="F75" s="38"/>
      <c r="G75" s="38"/>
      <c r="H75" s="38"/>
      <c r="I75" s="38"/>
      <c r="J75" s="33"/>
      <c r="K75" s="46"/>
    </row>
    <row r="76" spans="1:11" s="25" customFormat="1">
      <c r="A76" s="33">
        <f t="shared" si="1"/>
        <v>73</v>
      </c>
      <c r="B76" s="52"/>
      <c r="C76" s="39"/>
      <c r="D76" s="36"/>
      <c r="E76" s="38"/>
      <c r="F76" s="38"/>
      <c r="G76" s="38"/>
      <c r="H76" s="38"/>
      <c r="I76" s="38"/>
      <c r="J76" s="33"/>
      <c r="K76" s="46"/>
    </row>
    <row r="77" spans="1:11" s="25" customFormat="1">
      <c r="A77" s="33">
        <f t="shared" si="1"/>
        <v>74</v>
      </c>
      <c r="B77" s="52"/>
      <c r="C77" s="39"/>
      <c r="D77" s="36"/>
      <c r="E77" s="38"/>
      <c r="F77" s="38"/>
      <c r="G77" s="38"/>
      <c r="H77" s="38"/>
      <c r="I77" s="38"/>
      <c r="J77" s="33"/>
      <c r="K77" s="46"/>
    </row>
    <row r="78" spans="1:11" s="25" customFormat="1">
      <c r="A78" s="33">
        <f t="shared" si="1"/>
        <v>75</v>
      </c>
      <c r="B78" s="52"/>
      <c r="C78" s="39"/>
      <c r="D78" s="36"/>
      <c r="E78" s="38"/>
      <c r="F78" s="38"/>
      <c r="G78" s="38"/>
      <c r="H78" s="38"/>
      <c r="I78" s="38"/>
      <c r="J78" s="33"/>
      <c r="K78" s="46"/>
    </row>
    <row r="79" spans="1:11" s="25" customFormat="1">
      <c r="A79" s="33">
        <f t="shared" ref="A79:A83" si="2">ROW()-3</f>
        <v>76</v>
      </c>
      <c r="B79" s="52"/>
      <c r="C79" s="39"/>
      <c r="D79" s="36"/>
      <c r="E79" s="38"/>
      <c r="F79" s="38"/>
      <c r="G79" s="38"/>
      <c r="H79" s="38"/>
      <c r="I79" s="38"/>
      <c r="J79" s="33"/>
      <c r="K79" s="46"/>
    </row>
    <row r="80" spans="1:11" s="25" customFormat="1">
      <c r="A80" s="33">
        <f t="shared" si="2"/>
        <v>77</v>
      </c>
      <c r="B80" s="52"/>
      <c r="C80" s="39"/>
      <c r="D80" s="36"/>
      <c r="E80" s="38"/>
      <c r="F80" s="38"/>
      <c r="G80" s="38"/>
      <c r="H80" s="38"/>
      <c r="I80" s="38"/>
      <c r="J80" s="33"/>
      <c r="K80" s="46"/>
    </row>
    <row r="81" spans="1:11" s="25" customFormat="1">
      <c r="A81" s="33">
        <f t="shared" si="2"/>
        <v>78</v>
      </c>
      <c r="B81" s="52"/>
      <c r="C81" s="39"/>
      <c r="D81" s="36"/>
      <c r="E81" s="38"/>
      <c r="F81" s="38"/>
      <c r="G81" s="38"/>
      <c r="H81" s="38"/>
      <c r="I81" s="38"/>
      <c r="J81" s="38"/>
      <c r="K81" s="46"/>
    </row>
    <row r="82" spans="1:11" s="25" customFormat="1">
      <c r="A82" s="33">
        <f t="shared" si="2"/>
        <v>79</v>
      </c>
      <c r="B82" s="52"/>
      <c r="C82" s="39"/>
      <c r="D82" s="36"/>
      <c r="E82" s="38"/>
      <c r="F82" s="38"/>
      <c r="G82" s="38"/>
      <c r="H82" s="38"/>
      <c r="I82" s="38"/>
      <c r="J82" s="38"/>
      <c r="K82" s="46"/>
    </row>
    <row r="83" spans="1:11" s="25" customFormat="1">
      <c r="A83" s="33">
        <f t="shared" si="2"/>
        <v>80</v>
      </c>
      <c r="B83" s="52"/>
      <c r="C83" s="39"/>
      <c r="D83" s="36"/>
      <c r="E83" s="38"/>
      <c r="F83" s="38"/>
      <c r="G83" s="38"/>
      <c r="H83" s="38"/>
      <c r="I83" s="38"/>
      <c r="J83" s="38"/>
      <c r="K83" s="46"/>
    </row>
    <row r="84" spans="1:11" s="25" customFormat="1">
      <c r="A84" s="33"/>
      <c r="B84" s="52"/>
      <c r="C84" s="39"/>
      <c r="D84" s="36"/>
      <c r="E84" s="38"/>
      <c r="F84" s="38"/>
      <c r="G84" s="38"/>
      <c r="H84" s="38"/>
      <c r="I84" s="38"/>
      <c r="J84" s="38"/>
      <c r="K84" s="46"/>
    </row>
  </sheetData>
  <phoneticPr fontId="38" type="noConversion"/>
  <hyperlinks>
    <hyperlink ref="B4" location="模版_template!A1" display="模版_template"/>
    <hyperlink ref="B5" location="登录!A1" display="登录"/>
    <hyperlink ref="B6" location="查询角色!A1" display="查询角色"/>
    <hyperlink ref="B7" location="删除角色!A1" display="删除角色"/>
    <hyperlink ref="B8" location="增加角色!A1" display="增加角色"/>
    <hyperlink ref="B9" location="根据id查询角色!A1" display="根据id查询角色"/>
    <hyperlink ref="B10" location="编辑角色!A1" display="编辑角色"/>
    <hyperlink ref="B11" location="查询用户!A1" display="查询用户"/>
    <hyperlink ref="B12" location="删除用户!A1" display="删除用户"/>
    <hyperlink ref="B13" location="增加用户!A1" display="增加用户"/>
    <hyperlink ref="B14" location="根据id查询用户!A1" display="根据id查询用户"/>
    <hyperlink ref="B15" location="编辑用户!A1" display="编辑用户"/>
    <hyperlink ref="B16" location="查询权限设置!A1" display="查询权限设置"/>
    <hyperlink ref="B17" location="会员卡充值!A1" display="会员卡充值"/>
    <hyperlink ref="B18" location="会员卡余额详情查询!A1" display="会员卡余额详情查询"/>
    <hyperlink ref="B19" location="会员卡梯度查询!A1" display="会员卡梯度查询"/>
    <hyperlink ref="B20" location="会员卡新增梯度!A1" display="会员卡新增梯度"/>
    <hyperlink ref="B21" location="会员卡删除梯度!A1" display="会员卡删除梯度"/>
    <hyperlink ref="B22" location="根据id查询会员卡梯度详情!A1" display="根据id查询会员卡梯度详情"/>
    <hyperlink ref="B23" location="会员卡编辑梯度!A1" display="会员卡编辑梯度"/>
    <hyperlink ref="B24" location="会员卡梯度提示语查询!A1" display="会员卡梯度提示语查询"/>
    <hyperlink ref="B25" location="会员卡新增提示语!A1" display="会员卡新增提示语"/>
    <hyperlink ref="B26" location="会员卡删除提示语!A1" display="会员卡删除提示语"/>
    <hyperlink ref="B27" location="根据id查询会员卡提示语详情!A1" display="根据id查询会员卡提示语详情"/>
    <hyperlink ref="B28" location="会员卡编辑提示语!A1" display="会员卡编辑提示语"/>
    <hyperlink ref="B29" location="会员卡购买记录查询!A1" display="会员卡购买记录查询"/>
  </hyperlinks>
  <pageMargins left="0.69930555555555596" right="0.69930555555555596" top="0.75" bottom="0.75" header="0.3" footer="0.3"/>
  <pageSetup paperSize="9" orientation="portrait" horizontalDpi="180" verticalDpi="18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Pict="0" macro="[0]!refreshMenu2">
                <anchor moveWithCells="1" sizeWithCells="1">
                  <from>
                    <xdr:col>3</xdr:col>
                    <xdr:colOff>1543050</xdr:colOff>
                    <xdr:row>0</xdr:row>
                    <xdr:rowOff>38100</xdr:rowOff>
                  </from>
                  <to>
                    <xdr:col>3</xdr:col>
                    <xdr:colOff>2247900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K135"/>
  <sheetViews>
    <sheetView workbookViewId="0">
      <selection activeCell="G33" sqref="G33"/>
    </sheetView>
  </sheetViews>
  <sheetFormatPr defaultColWidth="9" defaultRowHeight="13.5"/>
  <cols>
    <col min="1" max="1" width="3.625" style="2" customWidth="1"/>
    <col min="2" max="2" width="18" style="2" customWidth="1"/>
    <col min="3" max="3" width="20" style="2" customWidth="1"/>
    <col min="4" max="4" width="18.625" style="2" customWidth="1"/>
    <col min="5" max="5" width="22.125" style="2" customWidth="1"/>
    <col min="6" max="6" width="9" style="2"/>
    <col min="7" max="10" width="17" style="2" customWidth="1"/>
    <col min="11" max="15" width="2.625" style="2" customWidth="1"/>
    <col min="16" max="16384" width="9" style="2"/>
  </cols>
  <sheetData>
    <row r="1" spans="1:10">
      <c r="A1" s="3"/>
    </row>
    <row r="3" spans="1:10">
      <c r="B3" s="4" t="s">
        <v>28</v>
      </c>
      <c r="C3" s="116" t="s">
        <v>249</v>
      </c>
      <c r="D3" s="116"/>
      <c r="E3" s="116"/>
      <c r="G3" s="4" t="s">
        <v>28</v>
      </c>
      <c r="H3" s="122" t="s">
        <v>327</v>
      </c>
      <c r="I3" s="116"/>
      <c r="J3" s="116"/>
    </row>
    <row r="4" spans="1:10">
      <c r="B4" s="4" t="s">
        <v>30</v>
      </c>
      <c r="C4" s="116" t="s">
        <v>250</v>
      </c>
      <c r="D4" s="116"/>
      <c r="E4" s="116"/>
      <c r="G4" s="4" t="s">
        <v>30</v>
      </c>
      <c r="H4" s="122" t="s">
        <v>328</v>
      </c>
      <c r="I4" s="116"/>
      <c r="J4" s="116"/>
    </row>
    <row r="5" spans="1:10">
      <c r="B5" s="4" t="s">
        <v>32</v>
      </c>
      <c r="C5" s="23" t="s">
        <v>33</v>
      </c>
      <c r="D5" s="6"/>
      <c r="E5" s="7"/>
      <c r="G5" s="4" t="s">
        <v>32</v>
      </c>
      <c r="H5" s="87" t="s">
        <v>33</v>
      </c>
      <c r="I5" s="88"/>
      <c r="J5" s="89"/>
    </row>
    <row r="6" spans="1:10">
      <c r="B6" s="4" t="s">
        <v>127</v>
      </c>
      <c r="C6" s="117" t="s">
        <v>251</v>
      </c>
      <c r="D6" s="118"/>
      <c r="E6" s="119"/>
      <c r="G6" s="4" t="s">
        <v>127</v>
      </c>
      <c r="H6" s="123" t="s">
        <v>316</v>
      </c>
      <c r="I6" s="118"/>
      <c r="J6" s="119"/>
    </row>
    <row r="7" spans="1:10" ht="39.75" customHeight="1">
      <c r="B7" s="4" t="s">
        <v>34</v>
      </c>
      <c r="C7" s="120" t="s">
        <v>249</v>
      </c>
      <c r="D7" s="120"/>
      <c r="E7" s="120"/>
      <c r="G7" s="4" t="s">
        <v>34</v>
      </c>
      <c r="H7" s="120" t="s">
        <v>249</v>
      </c>
      <c r="I7" s="120"/>
      <c r="J7" s="120"/>
    </row>
    <row r="8" spans="1:10" ht="25.5" customHeight="1">
      <c r="B8" s="4" t="s">
        <v>36</v>
      </c>
      <c r="C8" s="120" t="s">
        <v>249</v>
      </c>
      <c r="D8" s="120"/>
      <c r="E8" s="120"/>
      <c r="G8" s="4" t="s">
        <v>36</v>
      </c>
      <c r="H8" s="124" t="s">
        <v>317</v>
      </c>
      <c r="I8" s="120"/>
      <c r="J8" s="120"/>
    </row>
    <row r="9" spans="1:10">
      <c r="B9" s="114" t="s">
        <v>37</v>
      </c>
      <c r="C9" s="114"/>
      <c r="D9" s="114"/>
      <c r="E9" s="114"/>
      <c r="G9" s="114" t="s">
        <v>37</v>
      </c>
      <c r="H9" s="114"/>
      <c r="I9" s="114"/>
      <c r="J9" s="114"/>
    </row>
    <row r="10" spans="1:10">
      <c r="B10" s="8" t="s">
        <v>38</v>
      </c>
      <c r="C10" s="8" t="s">
        <v>39</v>
      </c>
      <c r="D10" s="8" t="s">
        <v>40</v>
      </c>
      <c r="E10" s="8" t="s">
        <v>41</v>
      </c>
      <c r="G10" s="8" t="s">
        <v>38</v>
      </c>
      <c r="H10" s="8" t="s">
        <v>39</v>
      </c>
      <c r="I10" s="8" t="s">
        <v>40</v>
      </c>
      <c r="J10" s="8" t="s">
        <v>41</v>
      </c>
    </row>
    <row r="11" spans="1:10">
      <c r="B11" s="9" t="s">
        <v>254</v>
      </c>
      <c r="C11" s="10" t="s">
        <v>255</v>
      </c>
      <c r="D11" s="11" t="s">
        <v>43</v>
      </c>
      <c r="E11" s="11" t="s">
        <v>44</v>
      </c>
      <c r="G11" s="90"/>
      <c r="H11" s="10"/>
      <c r="I11" s="11"/>
      <c r="J11" s="11"/>
    </row>
    <row r="12" spans="1:10">
      <c r="B12" s="13"/>
      <c r="C12" s="22"/>
      <c r="D12" s="11"/>
      <c r="E12" s="11"/>
      <c r="G12" s="91" t="s">
        <v>318</v>
      </c>
      <c r="H12" s="91" t="s">
        <v>319</v>
      </c>
      <c r="I12" s="90" t="s">
        <v>320</v>
      </c>
      <c r="J12" s="90" t="s">
        <v>321</v>
      </c>
    </row>
    <row r="13" spans="1:10">
      <c r="B13" s="13"/>
      <c r="C13" s="22"/>
      <c r="D13" s="11"/>
      <c r="E13" s="11"/>
      <c r="G13" s="91" t="s">
        <v>322</v>
      </c>
      <c r="H13" s="91" t="s">
        <v>323</v>
      </c>
      <c r="I13" s="90" t="s">
        <v>320</v>
      </c>
      <c r="J13" s="90" t="s">
        <v>321</v>
      </c>
    </row>
    <row r="14" spans="1:10">
      <c r="B14" s="13"/>
      <c r="C14" s="13"/>
      <c r="D14" s="11"/>
      <c r="E14" s="11"/>
      <c r="G14" s="13"/>
      <c r="H14" s="13"/>
      <c r="I14" s="11"/>
      <c r="J14" s="11"/>
    </row>
    <row r="15" spans="1:10">
      <c r="B15" s="13"/>
      <c r="C15" s="13"/>
      <c r="D15" s="11"/>
      <c r="E15" s="11"/>
      <c r="G15" s="13"/>
      <c r="H15" s="13"/>
      <c r="I15" s="11"/>
      <c r="J15" s="11"/>
    </row>
    <row r="16" spans="1:10">
      <c r="B16" s="13"/>
      <c r="C16" s="13"/>
      <c r="D16" s="11"/>
      <c r="E16" s="11"/>
      <c r="G16" s="13"/>
      <c r="H16" s="13"/>
      <c r="I16" s="11"/>
      <c r="J16" s="11"/>
    </row>
    <row r="17" spans="2:10">
      <c r="B17" s="13"/>
      <c r="C17" s="13"/>
      <c r="D17" s="11"/>
      <c r="E17" s="11"/>
      <c r="G17" s="13"/>
      <c r="H17" s="13"/>
      <c r="I17" s="11"/>
      <c r="J17" s="11"/>
    </row>
    <row r="18" spans="2:10">
      <c r="B18" s="13"/>
      <c r="C18" s="13"/>
      <c r="D18" s="11"/>
      <c r="E18" s="11"/>
      <c r="G18" s="13"/>
      <c r="H18" s="13"/>
      <c r="I18" s="11"/>
      <c r="J18" s="11"/>
    </row>
    <row r="19" spans="2:10">
      <c r="B19" s="13"/>
      <c r="C19" s="13"/>
      <c r="D19" s="11"/>
      <c r="E19" s="11"/>
      <c r="G19" s="13"/>
      <c r="H19" s="13"/>
      <c r="I19" s="11"/>
      <c r="J19" s="11"/>
    </row>
    <row r="20" spans="2:10">
      <c r="B20" s="13"/>
      <c r="C20" s="13"/>
      <c r="D20" s="11"/>
      <c r="E20" s="11"/>
      <c r="G20" s="13"/>
      <c r="H20" s="13"/>
      <c r="I20" s="11"/>
      <c r="J20" s="11"/>
    </row>
    <row r="21" spans="2:10" ht="27.75" customHeight="1">
      <c r="B21" s="14" t="s">
        <v>57</v>
      </c>
      <c r="C21" s="115"/>
      <c r="D21" s="115"/>
      <c r="E21" s="115"/>
      <c r="G21" s="14" t="s">
        <v>57</v>
      </c>
      <c r="H21" s="115"/>
      <c r="I21" s="115"/>
      <c r="J21" s="115"/>
    </row>
    <row r="22" spans="2:10">
      <c r="B22" s="114" t="s">
        <v>59</v>
      </c>
      <c r="C22" s="114"/>
      <c r="D22" s="114"/>
      <c r="E22" s="114"/>
      <c r="G22" s="114" t="s">
        <v>59</v>
      </c>
      <c r="H22" s="114"/>
      <c r="I22" s="114"/>
      <c r="J22" s="114"/>
    </row>
    <row r="23" spans="2:10">
      <c r="B23" s="8" t="s">
        <v>38</v>
      </c>
      <c r="C23" s="8" t="s">
        <v>39</v>
      </c>
      <c r="D23" s="8" t="s">
        <v>40</v>
      </c>
      <c r="E23" s="8" t="s">
        <v>41</v>
      </c>
      <c r="G23" s="8" t="s">
        <v>38</v>
      </c>
      <c r="H23" s="8" t="s">
        <v>39</v>
      </c>
      <c r="I23" s="8" t="s">
        <v>40</v>
      </c>
      <c r="J23" s="8" t="s">
        <v>41</v>
      </c>
    </row>
    <row r="24" spans="2:10">
      <c r="B24" s="15" t="s">
        <v>60</v>
      </c>
      <c r="C24" s="16" t="str">
        <f>IFERROR(VLOOKUP(B24,[1]字段定义字典!B:I,8,FALSE),"")</f>
        <v>code</v>
      </c>
      <c r="D24" s="15" t="s">
        <v>43</v>
      </c>
      <c r="E24" s="15" t="s">
        <v>61</v>
      </c>
      <c r="G24" s="15"/>
      <c r="H24" s="16"/>
      <c r="I24" s="15"/>
      <c r="J24" s="15"/>
    </row>
    <row r="25" spans="2:10">
      <c r="B25" s="15" t="s">
        <v>62</v>
      </c>
      <c r="C25" s="16" t="str">
        <f>IFERROR(VLOOKUP(B25,[1]字段定义字典!B:I,8,FALSE),"")</f>
        <v>msg</v>
      </c>
      <c r="D25" s="15" t="s">
        <v>43</v>
      </c>
      <c r="E25" s="15" t="s">
        <v>63</v>
      </c>
      <c r="G25" s="15"/>
      <c r="H25" s="16"/>
      <c r="I25" s="15"/>
      <c r="J25" s="15"/>
    </row>
    <row r="26" spans="2:10">
      <c r="B26" s="15"/>
      <c r="C26" s="16"/>
      <c r="D26" s="15"/>
      <c r="E26" s="15"/>
      <c r="G26" s="97" t="s">
        <v>329</v>
      </c>
      <c r="H26" s="93" t="s">
        <v>319</v>
      </c>
      <c r="I26" s="92" t="s">
        <v>320</v>
      </c>
      <c r="J26" s="92" t="s">
        <v>324</v>
      </c>
    </row>
    <row r="27" spans="2:10">
      <c r="B27" s="17"/>
      <c r="C27" s="18"/>
      <c r="D27" s="15"/>
      <c r="E27" s="15"/>
      <c r="G27" s="94" t="s">
        <v>325</v>
      </c>
      <c r="H27" s="95" t="s">
        <v>326</v>
      </c>
      <c r="I27" s="92" t="s">
        <v>320</v>
      </c>
      <c r="J27" s="15"/>
    </row>
    <row r="28" spans="2:10">
      <c r="B28" s="19"/>
      <c r="C28" s="20"/>
      <c r="D28" s="15"/>
      <c r="E28" s="21"/>
      <c r="G28" s="19"/>
      <c r="H28" s="20"/>
      <c r="I28" s="15"/>
      <c r="J28" s="21"/>
    </row>
    <row r="29" spans="2:10">
      <c r="B29" s="21"/>
      <c r="C29" s="16"/>
      <c r="D29" s="21"/>
      <c r="E29" s="21"/>
      <c r="G29" s="21"/>
      <c r="H29" s="16"/>
      <c r="I29" s="21"/>
      <c r="J29" s="21"/>
    </row>
    <row r="30" spans="2:10" ht="21.75" customHeight="1">
      <c r="B30" s="14" t="s">
        <v>64</v>
      </c>
      <c r="C30" s="115" t="s">
        <v>65</v>
      </c>
      <c r="D30" s="115"/>
      <c r="E30" s="115"/>
      <c r="G30" s="14" t="s">
        <v>64</v>
      </c>
      <c r="H30" s="121" t="s">
        <v>330</v>
      </c>
      <c r="I30" s="115"/>
      <c r="J30" s="115"/>
    </row>
    <row r="39" ht="14.25" customHeight="1"/>
    <row r="40" ht="14.25" customHeight="1"/>
    <row r="41" ht="14.25" customHeight="1"/>
    <row r="42" s="1" customFormat="1" ht="14.25" customHeight="1"/>
    <row r="49" ht="14.25" customHeight="1"/>
    <row r="50" ht="14.25" customHeight="1"/>
    <row r="51" ht="14.25" customHeight="1"/>
    <row r="52" s="1" customFormat="1" ht="14.25" customHeight="1"/>
    <row r="66" spans="11:11">
      <c r="K66" s="1"/>
    </row>
    <row r="110" spans="4:4">
      <c r="D110" s="1"/>
    </row>
    <row r="116" spans="5:5">
      <c r="E116" s="1"/>
    </row>
    <row r="135" spans="4:4">
      <c r="D135" s="1"/>
    </row>
  </sheetData>
  <mergeCells count="18">
    <mergeCell ref="G9:J9"/>
    <mergeCell ref="H21:J21"/>
    <mergeCell ref="G22:J22"/>
    <mergeCell ref="H30:J30"/>
    <mergeCell ref="H3:J3"/>
    <mergeCell ref="H4:J4"/>
    <mergeCell ref="H6:J6"/>
    <mergeCell ref="H7:J7"/>
    <mergeCell ref="H8:J8"/>
    <mergeCell ref="B9:E9"/>
    <mergeCell ref="C21:E21"/>
    <mergeCell ref="B22:E22"/>
    <mergeCell ref="C30:E30"/>
    <mergeCell ref="C3:E3"/>
    <mergeCell ref="C4:E4"/>
    <mergeCell ref="C6:E6"/>
    <mergeCell ref="C7:E7"/>
    <mergeCell ref="C8:E8"/>
  </mergeCells>
  <phoneticPr fontId="38" type="noConversion"/>
  <hyperlinks>
    <hyperlink ref="H6" r:id="rId1"/>
  </hyperlinks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K135"/>
  <sheetViews>
    <sheetView zoomScale="85" zoomScaleNormal="85" workbookViewId="0">
      <selection activeCell="C21" sqref="C21:E21"/>
    </sheetView>
  </sheetViews>
  <sheetFormatPr defaultColWidth="9" defaultRowHeight="13.5"/>
  <cols>
    <col min="1" max="1" width="3.625" style="2" customWidth="1"/>
    <col min="2" max="2" width="18" style="2" customWidth="1"/>
    <col min="3" max="3" width="20" style="2" customWidth="1"/>
    <col min="4" max="4" width="18.625" style="2" customWidth="1"/>
    <col min="5" max="5" width="22.125" style="2" customWidth="1"/>
    <col min="6" max="6" width="9" style="2"/>
    <col min="7" max="7" width="2.625" style="2" customWidth="1"/>
    <col min="8" max="11" width="29.75" style="2" customWidth="1"/>
    <col min="12" max="15" width="2.625" style="2" customWidth="1"/>
    <col min="16" max="16384" width="9" style="2"/>
  </cols>
  <sheetData>
    <row r="1" spans="1:11">
      <c r="A1" s="3"/>
    </row>
    <row r="3" spans="1:11">
      <c r="B3" s="4" t="s">
        <v>28</v>
      </c>
      <c r="C3" s="122" t="s">
        <v>350</v>
      </c>
      <c r="D3" s="116"/>
      <c r="E3" s="116"/>
      <c r="H3" s="4" t="s">
        <v>28</v>
      </c>
      <c r="I3" s="122" t="s">
        <v>334</v>
      </c>
      <c r="J3" s="116"/>
      <c r="K3" s="116"/>
    </row>
    <row r="4" spans="1:11">
      <c r="B4" s="4" t="s">
        <v>30</v>
      </c>
      <c r="C4" s="122" t="s">
        <v>351</v>
      </c>
      <c r="D4" s="116"/>
      <c r="E4" s="116"/>
      <c r="H4" s="4" t="s">
        <v>30</v>
      </c>
      <c r="I4" s="122" t="s">
        <v>335</v>
      </c>
      <c r="J4" s="116"/>
      <c r="K4" s="116"/>
    </row>
    <row r="5" spans="1:11">
      <c r="B5" s="4" t="s">
        <v>32</v>
      </c>
      <c r="C5" s="5" t="s">
        <v>352</v>
      </c>
      <c r="D5" s="6"/>
      <c r="E5" s="7"/>
      <c r="H5" s="4" t="s">
        <v>32</v>
      </c>
      <c r="I5" s="100" t="s">
        <v>336</v>
      </c>
      <c r="J5" s="98"/>
      <c r="K5" s="99"/>
    </row>
    <row r="6" spans="1:11">
      <c r="B6" s="4" t="s">
        <v>127</v>
      </c>
      <c r="C6" s="123" t="s">
        <v>353</v>
      </c>
      <c r="D6" s="118"/>
      <c r="E6" s="119"/>
      <c r="H6" s="4" t="s">
        <v>127</v>
      </c>
      <c r="I6" s="123" t="s">
        <v>337</v>
      </c>
      <c r="J6" s="118"/>
      <c r="K6" s="119"/>
    </row>
    <row r="7" spans="1:11" ht="39.75" customHeight="1">
      <c r="B7" s="4" t="s">
        <v>34</v>
      </c>
      <c r="C7" s="125" t="s">
        <v>354</v>
      </c>
      <c r="D7" s="120"/>
      <c r="E7" s="120"/>
      <c r="H7" s="4" t="s">
        <v>34</v>
      </c>
      <c r="I7" s="125" t="s">
        <v>338</v>
      </c>
      <c r="J7" s="120"/>
      <c r="K7" s="120"/>
    </row>
    <row r="8" spans="1:11" ht="25.5" customHeight="1">
      <c r="B8" s="4" t="s">
        <v>36</v>
      </c>
      <c r="C8" s="124"/>
      <c r="D8" s="120"/>
      <c r="E8" s="120"/>
      <c r="H8" s="4" t="s">
        <v>36</v>
      </c>
      <c r="I8" s="125" t="s">
        <v>339</v>
      </c>
      <c r="J8" s="120"/>
      <c r="K8" s="120"/>
    </row>
    <row r="9" spans="1:11">
      <c r="B9" s="114" t="s">
        <v>37</v>
      </c>
      <c r="C9" s="114"/>
      <c r="D9" s="114"/>
      <c r="E9" s="114"/>
      <c r="H9" s="114" t="s">
        <v>37</v>
      </c>
      <c r="I9" s="114"/>
      <c r="J9" s="114"/>
      <c r="K9" s="114"/>
    </row>
    <row r="10" spans="1:11">
      <c r="B10" s="8" t="s">
        <v>38</v>
      </c>
      <c r="C10" s="8" t="s">
        <v>39</v>
      </c>
      <c r="D10" s="8" t="s">
        <v>40</v>
      </c>
      <c r="E10" s="8" t="s">
        <v>41</v>
      </c>
      <c r="H10" s="8" t="s">
        <v>38</v>
      </c>
      <c r="I10" s="8" t="s">
        <v>39</v>
      </c>
      <c r="J10" s="8" t="s">
        <v>40</v>
      </c>
      <c r="K10" s="8" t="s">
        <v>41</v>
      </c>
    </row>
    <row r="11" spans="1:11">
      <c r="B11" s="9" t="s">
        <v>355</v>
      </c>
      <c r="C11" s="10" t="s">
        <v>356</v>
      </c>
      <c r="D11" s="9" t="s">
        <v>357</v>
      </c>
      <c r="E11" s="9" t="s">
        <v>358</v>
      </c>
      <c r="H11" s="9" t="s">
        <v>340</v>
      </c>
      <c r="I11" s="10" t="s">
        <v>332</v>
      </c>
      <c r="J11" s="9" t="s">
        <v>341</v>
      </c>
      <c r="K11" s="9" t="s">
        <v>342</v>
      </c>
    </row>
    <row r="12" spans="1:11">
      <c r="B12" s="12" t="s">
        <v>359</v>
      </c>
      <c r="C12" s="12" t="s">
        <v>360</v>
      </c>
      <c r="D12" s="9" t="s">
        <v>361</v>
      </c>
      <c r="E12" s="9" t="s">
        <v>370</v>
      </c>
      <c r="H12" s="12" t="s">
        <v>343</v>
      </c>
      <c r="I12" s="12" t="s">
        <v>333</v>
      </c>
      <c r="J12" s="9" t="s">
        <v>344</v>
      </c>
      <c r="K12" s="9" t="s">
        <v>345</v>
      </c>
    </row>
    <row r="13" spans="1:11">
      <c r="B13" s="12"/>
      <c r="C13" s="12"/>
      <c r="D13" s="9"/>
      <c r="E13" s="9"/>
      <c r="H13" s="12" t="s">
        <v>346</v>
      </c>
      <c r="I13" s="12" t="s">
        <v>260</v>
      </c>
      <c r="J13" s="9" t="s">
        <v>344</v>
      </c>
      <c r="K13" s="9" t="s">
        <v>347</v>
      </c>
    </row>
    <row r="14" spans="1:11">
      <c r="B14" s="13"/>
      <c r="C14" s="13"/>
      <c r="D14" s="11"/>
      <c r="E14" s="11"/>
      <c r="H14" s="13"/>
      <c r="I14" s="13"/>
      <c r="J14" s="11"/>
      <c r="K14" s="11"/>
    </row>
    <row r="15" spans="1:11" ht="13.9" customHeight="1">
      <c r="B15" s="13"/>
      <c r="C15" s="13"/>
      <c r="D15" s="11"/>
      <c r="E15" s="11"/>
      <c r="H15" s="12" t="s">
        <v>348</v>
      </c>
      <c r="I15" s="13"/>
      <c r="J15" s="11"/>
      <c r="K15" s="11"/>
    </row>
    <row r="16" spans="1:11" ht="15.6" customHeight="1">
      <c r="B16" s="12"/>
      <c r="C16" s="12"/>
      <c r="D16" s="9"/>
      <c r="E16" s="9"/>
      <c r="H16" s="12"/>
      <c r="I16" s="12"/>
      <c r="J16" s="9"/>
      <c r="K16" s="9"/>
    </row>
    <row r="17" spans="2:11">
      <c r="B17" s="12"/>
      <c r="C17" s="12"/>
      <c r="D17" s="9"/>
      <c r="E17" s="9"/>
      <c r="H17" s="12"/>
      <c r="I17" s="12"/>
      <c r="J17" s="9"/>
      <c r="K17" s="9"/>
    </row>
    <row r="18" spans="2:11">
      <c r="B18" s="12"/>
      <c r="C18" s="12"/>
      <c r="D18" s="9"/>
      <c r="E18" s="9"/>
      <c r="H18" s="12"/>
      <c r="I18" s="12"/>
      <c r="J18" s="9"/>
      <c r="K18" s="9"/>
    </row>
    <row r="19" spans="2:11">
      <c r="B19" s="12"/>
      <c r="C19" s="12"/>
      <c r="D19" s="9"/>
      <c r="E19" s="9"/>
      <c r="H19" s="12"/>
      <c r="I19" s="12"/>
      <c r="J19" s="9"/>
      <c r="K19" s="9"/>
    </row>
    <row r="20" spans="2:11">
      <c r="B20" s="12"/>
      <c r="C20" s="12"/>
      <c r="D20" s="9"/>
      <c r="E20" s="9"/>
      <c r="H20" s="12"/>
      <c r="I20" s="12"/>
      <c r="J20" s="9"/>
      <c r="K20" s="9"/>
    </row>
    <row r="21" spans="2:11" ht="27.75" customHeight="1">
      <c r="B21" s="14" t="s">
        <v>57</v>
      </c>
      <c r="C21" s="121" t="s">
        <v>362</v>
      </c>
      <c r="D21" s="115"/>
      <c r="E21" s="115"/>
      <c r="H21" s="14" t="s">
        <v>57</v>
      </c>
      <c r="I21" s="121"/>
      <c r="J21" s="115"/>
      <c r="K21" s="115"/>
    </row>
    <row r="22" spans="2:11">
      <c r="B22" s="114" t="s">
        <v>59</v>
      </c>
      <c r="C22" s="114"/>
      <c r="D22" s="114"/>
      <c r="E22" s="114"/>
      <c r="H22" s="114" t="s">
        <v>59</v>
      </c>
      <c r="I22" s="114"/>
      <c r="J22" s="114"/>
      <c r="K22" s="114"/>
    </row>
    <row r="23" spans="2:11">
      <c r="B23" s="8" t="s">
        <v>38</v>
      </c>
      <c r="C23" s="8" t="s">
        <v>39</v>
      </c>
      <c r="D23" s="8" t="s">
        <v>40</v>
      </c>
      <c r="E23" s="8" t="s">
        <v>41</v>
      </c>
      <c r="H23" s="8" t="s">
        <v>38</v>
      </c>
      <c r="I23" s="8" t="s">
        <v>39</v>
      </c>
      <c r="J23" s="8" t="s">
        <v>40</v>
      </c>
      <c r="K23" s="8" t="s">
        <v>41</v>
      </c>
    </row>
    <row r="24" spans="2:11">
      <c r="B24" s="97" t="s">
        <v>363</v>
      </c>
      <c r="C24" s="16" t="s">
        <v>364</v>
      </c>
      <c r="D24" s="97" t="s">
        <v>344</v>
      </c>
      <c r="E24" s="97" t="s">
        <v>365</v>
      </c>
      <c r="H24" s="97"/>
      <c r="I24" s="104"/>
      <c r="J24" s="97"/>
      <c r="K24" s="97"/>
    </row>
    <row r="25" spans="2:11">
      <c r="B25" s="97" t="s">
        <v>366</v>
      </c>
      <c r="C25" s="16" t="s">
        <v>264</v>
      </c>
      <c r="D25" s="97" t="s">
        <v>367</v>
      </c>
      <c r="E25" s="97" t="s">
        <v>368</v>
      </c>
      <c r="H25" s="97"/>
      <c r="I25" s="104"/>
      <c r="J25" s="97"/>
      <c r="K25" s="97"/>
    </row>
    <row r="26" spans="2:11">
      <c r="B26" s="97"/>
      <c r="C26" s="104"/>
      <c r="D26" s="97"/>
      <c r="E26" s="97"/>
      <c r="H26" s="97"/>
      <c r="I26" s="104"/>
      <c r="J26" s="97"/>
      <c r="K26" s="97"/>
    </row>
    <row r="27" spans="2:11">
      <c r="B27" s="101"/>
      <c r="C27" s="102"/>
      <c r="D27" s="97"/>
      <c r="E27" s="97"/>
      <c r="H27" s="101"/>
      <c r="I27" s="102"/>
      <c r="J27" s="97"/>
      <c r="K27" s="97"/>
    </row>
    <row r="28" spans="2:11">
      <c r="B28" s="19"/>
      <c r="C28" s="103"/>
      <c r="D28" s="97"/>
      <c r="E28" s="21"/>
      <c r="H28" s="19"/>
      <c r="I28" s="103"/>
      <c r="J28" s="97"/>
      <c r="K28" s="97"/>
    </row>
    <row r="29" spans="2:11">
      <c r="B29" s="96"/>
      <c r="C29" s="93"/>
      <c r="D29" s="96"/>
      <c r="E29" s="96"/>
      <c r="H29" s="96"/>
      <c r="I29" s="93"/>
      <c r="J29" s="96"/>
      <c r="K29" s="96"/>
    </row>
    <row r="30" spans="2:11" ht="50.25" customHeight="1">
      <c r="B30" s="14" t="s">
        <v>64</v>
      </c>
      <c r="C30" s="121" t="s">
        <v>369</v>
      </c>
      <c r="D30" s="115"/>
      <c r="E30" s="115"/>
      <c r="H30" s="14" t="s">
        <v>64</v>
      </c>
      <c r="I30" s="121" t="s">
        <v>349</v>
      </c>
      <c r="J30" s="115"/>
      <c r="K30" s="115"/>
    </row>
    <row r="39" ht="14.25" customHeight="1"/>
    <row r="40" ht="14.25" customHeight="1"/>
    <row r="41" ht="14.25" customHeight="1"/>
    <row r="42" s="1" customFormat="1" ht="14.25" customHeight="1"/>
    <row r="49" ht="14.25" customHeight="1"/>
    <row r="50" ht="14.25" customHeight="1"/>
    <row r="51" ht="14.25" customHeight="1"/>
    <row r="52" s="1" customFormat="1" ht="14.25" customHeight="1"/>
    <row r="66" spans="11:11">
      <c r="K66" s="1"/>
    </row>
    <row r="110" spans="4:4">
      <c r="D110" s="1"/>
    </row>
    <row r="116" spans="5:5">
      <c r="E116" s="1"/>
    </row>
    <row r="135" spans="4:4">
      <c r="D135" s="1"/>
    </row>
  </sheetData>
  <mergeCells count="18">
    <mergeCell ref="B9:E9"/>
    <mergeCell ref="C21:E21"/>
    <mergeCell ref="B22:E22"/>
    <mergeCell ref="C30:E30"/>
    <mergeCell ref="C3:E3"/>
    <mergeCell ref="C4:E4"/>
    <mergeCell ref="C6:E6"/>
    <mergeCell ref="C7:E7"/>
    <mergeCell ref="C8:E8"/>
    <mergeCell ref="H9:K9"/>
    <mergeCell ref="I21:K21"/>
    <mergeCell ref="H22:K22"/>
    <mergeCell ref="I30:K30"/>
    <mergeCell ref="I3:K3"/>
    <mergeCell ref="I4:K4"/>
    <mergeCell ref="I6:K6"/>
    <mergeCell ref="I7:K7"/>
    <mergeCell ref="I8:K8"/>
  </mergeCells>
  <phoneticPr fontId="38" type="noConversion"/>
  <hyperlinks>
    <hyperlink ref="I6" r:id="rId1"/>
    <hyperlink ref="C6" r:id="rId2"/>
  </hyperlinks>
  <pageMargins left="0.69930555555555596" right="0.69930555555555596" top="0.75" bottom="0.75" header="0.3" footer="0.3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K135"/>
  <sheetViews>
    <sheetView tabSelected="1" topLeftCell="A37" workbookViewId="0">
      <selection activeCell="C14" sqref="C14"/>
    </sheetView>
  </sheetViews>
  <sheetFormatPr defaultColWidth="9" defaultRowHeight="13.5"/>
  <cols>
    <col min="1" max="1" width="3.625" style="2" customWidth="1"/>
    <col min="2" max="2" width="18" style="2" customWidth="1"/>
    <col min="3" max="3" width="20" style="2" customWidth="1"/>
    <col min="4" max="4" width="18.625" style="2" customWidth="1"/>
    <col min="5" max="5" width="22.125" style="2" customWidth="1"/>
    <col min="6" max="6" width="9" style="2"/>
    <col min="7" max="15" width="2.625" style="2" customWidth="1"/>
    <col min="16" max="16384" width="9" style="2"/>
  </cols>
  <sheetData>
    <row r="1" spans="1:5">
      <c r="A1" s="3"/>
    </row>
    <row r="3" spans="1:5">
      <c r="B3" s="4" t="s">
        <v>28</v>
      </c>
      <c r="C3" s="116" t="s">
        <v>143</v>
      </c>
      <c r="D3" s="116"/>
      <c r="E3" s="116"/>
    </row>
    <row r="4" spans="1:5">
      <c r="B4" s="4" t="s">
        <v>30</v>
      </c>
      <c r="C4" s="122" t="s">
        <v>145</v>
      </c>
      <c r="D4" s="116"/>
      <c r="E4" s="116"/>
    </row>
    <row r="5" spans="1:5">
      <c r="B5" s="4" t="s">
        <v>32</v>
      </c>
      <c r="C5" s="5" t="s">
        <v>252</v>
      </c>
      <c r="D5" s="6"/>
      <c r="E5" s="7"/>
    </row>
    <row r="6" spans="1:5">
      <c r="B6" s="4" t="s">
        <v>127</v>
      </c>
      <c r="C6" s="126" t="s">
        <v>146</v>
      </c>
      <c r="D6" s="118"/>
      <c r="E6" s="119"/>
    </row>
    <row r="7" spans="1:5" ht="39.75" customHeight="1">
      <c r="B7" s="4" t="s">
        <v>34</v>
      </c>
      <c r="C7" s="120" t="s">
        <v>142</v>
      </c>
      <c r="D7" s="120"/>
      <c r="E7" s="120"/>
    </row>
    <row r="8" spans="1:5" ht="25.5" customHeight="1">
      <c r="B8" s="4" t="s">
        <v>36</v>
      </c>
      <c r="C8" s="120"/>
      <c r="D8" s="120"/>
      <c r="E8" s="120"/>
    </row>
    <row r="9" spans="1:5">
      <c r="B9" s="114" t="s">
        <v>37</v>
      </c>
      <c r="C9" s="114"/>
      <c r="D9" s="114"/>
      <c r="E9" s="114"/>
    </row>
    <row r="10" spans="1:5">
      <c r="B10" s="8" t="s">
        <v>38</v>
      </c>
      <c r="C10" s="8" t="s">
        <v>39</v>
      </c>
      <c r="D10" s="8" t="s">
        <v>40</v>
      </c>
      <c r="E10" s="8" t="s">
        <v>41</v>
      </c>
    </row>
    <row r="11" spans="1:5">
      <c r="B11" s="9" t="s">
        <v>254</v>
      </c>
      <c r="C11" s="10" t="s">
        <v>255</v>
      </c>
      <c r="D11" s="11" t="s">
        <v>43</v>
      </c>
      <c r="E11" s="11" t="s">
        <v>44</v>
      </c>
    </row>
    <row r="12" spans="1:5">
      <c r="B12" s="12" t="s">
        <v>261</v>
      </c>
      <c r="C12" s="12" t="s">
        <v>262</v>
      </c>
      <c r="D12" s="9" t="s">
        <v>258</v>
      </c>
      <c r="E12" s="9" t="s">
        <v>44</v>
      </c>
    </row>
    <row r="13" spans="1:5">
      <c r="B13" s="12" t="s">
        <v>263</v>
      </c>
      <c r="C13" s="12" t="s">
        <v>264</v>
      </c>
      <c r="D13" s="9" t="s">
        <v>265</v>
      </c>
      <c r="E13" s="9" t="s">
        <v>266</v>
      </c>
    </row>
    <row r="14" spans="1:5">
      <c r="B14" s="13"/>
      <c r="C14" s="13"/>
      <c r="D14" s="11"/>
      <c r="E14" s="11"/>
    </row>
    <row r="15" spans="1:5">
      <c r="B15" s="13"/>
      <c r="C15" s="13"/>
      <c r="D15" s="11"/>
      <c r="E15" s="11"/>
    </row>
    <row r="16" spans="1:5">
      <c r="B16" s="13"/>
      <c r="C16" s="13"/>
      <c r="D16" s="11"/>
      <c r="E16" s="11"/>
    </row>
    <row r="17" spans="2:5">
      <c r="B17" s="13"/>
      <c r="C17" s="13"/>
      <c r="D17" s="11"/>
      <c r="E17" s="11"/>
    </row>
    <row r="18" spans="2:5">
      <c r="B18" s="13"/>
      <c r="C18" s="13"/>
      <c r="D18" s="11"/>
      <c r="E18" s="11"/>
    </row>
    <row r="19" spans="2:5">
      <c r="B19" s="13"/>
      <c r="C19" s="13"/>
      <c r="D19" s="11"/>
      <c r="E19" s="11"/>
    </row>
    <row r="20" spans="2:5">
      <c r="B20" s="13"/>
      <c r="C20" s="13"/>
      <c r="D20" s="11"/>
      <c r="E20" s="11"/>
    </row>
    <row r="21" spans="2:5" ht="27.75" customHeight="1">
      <c r="B21" s="14" t="s">
        <v>57</v>
      </c>
      <c r="C21" s="115"/>
      <c r="D21" s="115"/>
      <c r="E21" s="115"/>
    </row>
    <row r="22" spans="2:5">
      <c r="B22" s="114" t="s">
        <v>59</v>
      </c>
      <c r="C22" s="114"/>
      <c r="D22" s="114"/>
      <c r="E22" s="114"/>
    </row>
    <row r="23" spans="2:5">
      <c r="B23" s="8" t="s">
        <v>38</v>
      </c>
      <c r="C23" s="8" t="s">
        <v>39</v>
      </c>
      <c r="D23" s="8" t="s">
        <v>40</v>
      </c>
      <c r="E23" s="8" t="s">
        <v>41</v>
      </c>
    </row>
    <row r="24" spans="2:5">
      <c r="B24" s="15" t="s">
        <v>60</v>
      </c>
      <c r="C24" s="16" t="str">
        <f>IFERROR(VLOOKUP(B24,[1]字段定义字典!B:I,8,FALSE),"")</f>
        <v>code</v>
      </c>
      <c r="D24" s="15" t="s">
        <v>43</v>
      </c>
      <c r="E24" s="15" t="s">
        <v>61</v>
      </c>
    </row>
    <row r="25" spans="2:5">
      <c r="B25" s="15" t="s">
        <v>62</v>
      </c>
      <c r="C25" s="16" t="str">
        <f>IFERROR(VLOOKUP(B25,[1]字段定义字典!B:I,8,FALSE),"")</f>
        <v>msg</v>
      </c>
      <c r="D25" s="15" t="s">
        <v>43</v>
      </c>
      <c r="E25" s="15" t="s">
        <v>63</v>
      </c>
    </row>
    <row r="26" spans="2:5">
      <c r="B26" s="15"/>
      <c r="C26" s="16"/>
      <c r="D26" s="15"/>
      <c r="E26" s="15"/>
    </row>
    <row r="27" spans="2:5">
      <c r="B27" s="17"/>
      <c r="C27" s="18"/>
      <c r="D27" s="15"/>
      <c r="E27" s="15"/>
    </row>
    <row r="28" spans="2:5">
      <c r="B28" s="19"/>
      <c r="C28" s="20"/>
      <c r="D28" s="15"/>
      <c r="E28" s="21"/>
    </row>
    <row r="29" spans="2:5">
      <c r="B29" s="21"/>
      <c r="C29" s="16"/>
      <c r="D29" s="21"/>
      <c r="E29" s="21"/>
    </row>
    <row r="30" spans="2:5" ht="21.75" customHeight="1">
      <c r="B30" s="14" t="s">
        <v>64</v>
      </c>
      <c r="C30" s="115" t="s">
        <v>65</v>
      </c>
      <c r="D30" s="115"/>
      <c r="E30" s="115"/>
    </row>
    <row r="39" ht="14.25" customHeight="1"/>
    <row r="40" ht="14.25" customHeight="1"/>
    <row r="41" ht="14.25" customHeight="1"/>
    <row r="42" s="1" customFormat="1" ht="14.25" customHeight="1"/>
    <row r="49" ht="14.25" customHeight="1"/>
    <row r="50" ht="14.25" customHeight="1"/>
    <row r="51" ht="14.25" customHeight="1"/>
    <row r="52" s="1" customFormat="1" ht="14.25" customHeight="1"/>
    <row r="66" spans="11:11">
      <c r="K66" s="1"/>
    </row>
    <row r="110" spans="4:4">
      <c r="D110" s="1"/>
    </row>
    <row r="116" spans="5:5">
      <c r="E116" s="1"/>
    </row>
    <row r="135" spans="4:4">
      <c r="D135" s="1"/>
    </row>
  </sheetData>
  <mergeCells count="9">
    <mergeCell ref="B9:E9"/>
    <mergeCell ref="C21:E21"/>
    <mergeCell ref="B22:E22"/>
    <mergeCell ref="C30:E30"/>
    <mergeCell ref="C3:E3"/>
    <mergeCell ref="C4:E4"/>
    <mergeCell ref="C6:E6"/>
    <mergeCell ref="C7:E7"/>
    <mergeCell ref="C8:E8"/>
  </mergeCells>
  <phoneticPr fontId="38" type="noConversion"/>
  <pageMargins left="0.69930555555555596" right="0.69930555555555596" top="0.75" bottom="0.75" header="0.3" footer="0.3"/>
  <pageSetup paperSize="9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135"/>
  <sheetViews>
    <sheetView workbookViewId="0">
      <selection activeCell="C8" sqref="C8:E8"/>
    </sheetView>
  </sheetViews>
  <sheetFormatPr defaultColWidth="9" defaultRowHeight="13.5"/>
  <cols>
    <col min="1" max="1" width="3.625" style="2" customWidth="1"/>
    <col min="2" max="2" width="18" style="2" customWidth="1"/>
    <col min="3" max="3" width="20" style="2" customWidth="1"/>
    <col min="4" max="4" width="18.625" style="2" customWidth="1"/>
    <col min="5" max="5" width="22.125" style="2" customWidth="1"/>
    <col min="6" max="6" width="9" style="2"/>
    <col min="7" max="15" width="2.625" style="2" customWidth="1"/>
    <col min="16" max="16384" width="9" style="2"/>
  </cols>
  <sheetData>
    <row r="1" spans="1:5">
      <c r="A1" s="3"/>
    </row>
    <row r="3" spans="1:5">
      <c r="B3" s="4" t="s">
        <v>28</v>
      </c>
      <c r="C3" s="116" t="s">
        <v>138</v>
      </c>
      <c r="D3" s="116"/>
      <c r="E3" s="116"/>
    </row>
    <row r="4" spans="1:5">
      <c r="B4" s="4" t="s">
        <v>30</v>
      </c>
      <c r="C4" s="122" t="s">
        <v>267</v>
      </c>
      <c r="D4" s="116"/>
      <c r="E4" s="116"/>
    </row>
    <row r="5" spans="1:5">
      <c r="B5" s="4" t="s">
        <v>32</v>
      </c>
      <c r="C5" s="5" t="s">
        <v>252</v>
      </c>
      <c r="D5" s="6"/>
      <c r="E5" s="7"/>
    </row>
    <row r="6" spans="1:5">
      <c r="B6" s="4" t="s">
        <v>127</v>
      </c>
      <c r="C6" s="126" t="s">
        <v>141</v>
      </c>
      <c r="D6" s="118"/>
      <c r="E6" s="119"/>
    </row>
    <row r="7" spans="1:5" ht="39.75" customHeight="1">
      <c r="B7" s="4" t="s">
        <v>34</v>
      </c>
      <c r="C7" s="120" t="s">
        <v>142</v>
      </c>
      <c r="D7" s="120"/>
      <c r="E7" s="120"/>
    </row>
    <row r="8" spans="1:5" ht="25.5" customHeight="1">
      <c r="B8" s="4" t="s">
        <v>36</v>
      </c>
      <c r="C8" s="120"/>
      <c r="D8" s="120"/>
      <c r="E8" s="120"/>
    </row>
    <row r="9" spans="1:5">
      <c r="B9" s="114" t="s">
        <v>37</v>
      </c>
      <c r="C9" s="114"/>
      <c r="D9" s="114"/>
      <c r="E9" s="114"/>
    </row>
    <row r="10" spans="1:5">
      <c r="B10" s="8" t="s">
        <v>38</v>
      </c>
      <c r="C10" s="8" t="s">
        <v>39</v>
      </c>
      <c r="D10" s="8" t="s">
        <v>40</v>
      </c>
      <c r="E10" s="8" t="s">
        <v>41</v>
      </c>
    </row>
    <row r="11" spans="1:5">
      <c r="B11" s="9" t="s">
        <v>254</v>
      </c>
      <c r="C11" s="10" t="s">
        <v>255</v>
      </c>
      <c r="D11" s="11" t="s">
        <v>43</v>
      </c>
      <c r="E11" s="11" t="s">
        <v>44</v>
      </c>
    </row>
    <row r="12" spans="1:5">
      <c r="B12" s="13"/>
      <c r="C12" s="22"/>
      <c r="D12" s="11"/>
      <c r="E12" s="11"/>
    </row>
    <row r="13" spans="1:5">
      <c r="B13" s="13"/>
      <c r="C13" s="22"/>
      <c r="D13" s="11"/>
      <c r="E13" s="11"/>
    </row>
    <row r="14" spans="1:5">
      <c r="B14" s="13"/>
      <c r="C14" s="13"/>
      <c r="D14" s="11"/>
      <c r="E14" s="11"/>
    </row>
    <row r="15" spans="1:5">
      <c r="B15" s="13"/>
      <c r="C15" s="13"/>
      <c r="D15" s="11"/>
      <c r="E15" s="11"/>
    </row>
    <row r="16" spans="1:5">
      <c r="B16" s="13"/>
      <c r="C16" s="13"/>
      <c r="D16" s="11"/>
      <c r="E16" s="11"/>
    </row>
    <row r="17" spans="2:5">
      <c r="B17" s="13"/>
      <c r="C17" s="13"/>
      <c r="D17" s="11"/>
      <c r="E17" s="11"/>
    </row>
    <row r="18" spans="2:5">
      <c r="B18" s="13"/>
      <c r="C18" s="13"/>
      <c r="D18" s="11"/>
      <c r="E18" s="11"/>
    </row>
    <row r="19" spans="2:5">
      <c r="B19" s="13"/>
      <c r="C19" s="13"/>
      <c r="D19" s="11"/>
      <c r="E19" s="11"/>
    </row>
    <row r="20" spans="2:5">
      <c r="B20" s="13"/>
      <c r="C20" s="13"/>
      <c r="D20" s="11"/>
      <c r="E20" s="11"/>
    </row>
    <row r="21" spans="2:5" ht="27.75" customHeight="1">
      <c r="B21" s="14" t="s">
        <v>57</v>
      </c>
      <c r="C21" s="115"/>
      <c r="D21" s="115"/>
      <c r="E21" s="115"/>
    </row>
    <row r="22" spans="2:5">
      <c r="B22" s="114" t="s">
        <v>59</v>
      </c>
      <c r="C22" s="114"/>
      <c r="D22" s="114"/>
      <c r="E22" s="114"/>
    </row>
    <row r="23" spans="2:5">
      <c r="B23" s="8" t="s">
        <v>38</v>
      </c>
      <c r="C23" s="8" t="s">
        <v>39</v>
      </c>
      <c r="D23" s="8" t="s">
        <v>40</v>
      </c>
      <c r="E23" s="8" t="s">
        <v>41</v>
      </c>
    </row>
    <row r="24" spans="2:5">
      <c r="B24" s="15" t="s">
        <v>60</v>
      </c>
      <c r="C24" s="16" t="str">
        <f>IFERROR(VLOOKUP(B24,[1]字段定义字典!B:I,8,FALSE),"")</f>
        <v>code</v>
      </c>
      <c r="D24" s="15" t="s">
        <v>43</v>
      </c>
      <c r="E24" s="15" t="s">
        <v>61</v>
      </c>
    </row>
    <row r="25" spans="2:5">
      <c r="B25" s="15" t="s">
        <v>62</v>
      </c>
      <c r="C25" s="16" t="str">
        <f>IFERROR(VLOOKUP(B25,[1]字段定义字典!B:I,8,FALSE),"")</f>
        <v>msg</v>
      </c>
      <c r="D25" s="15" t="s">
        <v>43</v>
      </c>
      <c r="E25" s="15" t="s">
        <v>63</v>
      </c>
    </row>
    <row r="26" spans="2:5">
      <c r="B26" s="15"/>
      <c r="C26" s="16"/>
      <c r="D26" s="15"/>
      <c r="E26" s="15"/>
    </row>
    <row r="27" spans="2:5">
      <c r="B27" s="17"/>
      <c r="C27" s="18"/>
      <c r="D27" s="15"/>
      <c r="E27" s="15"/>
    </row>
    <row r="28" spans="2:5">
      <c r="B28" s="19"/>
      <c r="C28" s="20"/>
      <c r="D28" s="15"/>
      <c r="E28" s="21"/>
    </row>
    <row r="29" spans="2:5">
      <c r="B29" s="21"/>
      <c r="C29" s="16"/>
      <c r="D29" s="21"/>
      <c r="E29" s="21"/>
    </row>
    <row r="30" spans="2:5" ht="21.75" customHeight="1">
      <c r="B30" s="14" t="s">
        <v>64</v>
      </c>
      <c r="C30" s="115" t="s">
        <v>65</v>
      </c>
      <c r="D30" s="115"/>
      <c r="E30" s="115"/>
    </row>
    <row r="39" ht="14.25" customHeight="1"/>
    <row r="40" ht="14.25" customHeight="1"/>
    <row r="41" ht="14.25" customHeight="1"/>
    <row r="42" s="1" customFormat="1" ht="14.25" customHeight="1"/>
    <row r="49" ht="14.25" customHeight="1"/>
    <row r="50" ht="14.25" customHeight="1"/>
    <row r="51" ht="14.25" customHeight="1"/>
    <row r="52" s="1" customFormat="1" ht="14.25" customHeight="1"/>
    <row r="66" spans="11:11">
      <c r="K66" s="1"/>
    </row>
    <row r="110" spans="4:4">
      <c r="D110" s="1"/>
    </row>
    <row r="116" spans="5:5">
      <c r="E116" s="1"/>
    </row>
    <row r="135" spans="4:4">
      <c r="D135" s="1"/>
    </row>
  </sheetData>
  <mergeCells count="9">
    <mergeCell ref="B9:E9"/>
    <mergeCell ref="C21:E21"/>
    <mergeCell ref="B22:E22"/>
    <mergeCell ref="C30:E30"/>
    <mergeCell ref="C3:E3"/>
    <mergeCell ref="C4:E4"/>
    <mergeCell ref="C6:E6"/>
    <mergeCell ref="C7:E7"/>
    <mergeCell ref="C8:E8"/>
  </mergeCells>
  <phoneticPr fontId="38" type="noConversion"/>
  <pageMargins left="0.69930555555555596" right="0.69930555555555596" top="0.75" bottom="0.75" header="0.3" footer="0.3"/>
  <pageSetup paperSize="9"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135"/>
  <sheetViews>
    <sheetView workbookViewId="0">
      <selection activeCell="L17" sqref="L17"/>
    </sheetView>
  </sheetViews>
  <sheetFormatPr defaultColWidth="9" defaultRowHeight="13.5"/>
  <cols>
    <col min="1" max="1" width="3.625" style="2" customWidth="1"/>
    <col min="2" max="2" width="18" style="2" customWidth="1"/>
    <col min="3" max="3" width="20" style="2" customWidth="1"/>
    <col min="4" max="4" width="18.625" style="2" customWidth="1"/>
    <col min="5" max="5" width="22.125" style="2" customWidth="1"/>
    <col min="6" max="6" width="9" style="2"/>
    <col min="7" max="15" width="2.625" style="2" customWidth="1"/>
    <col min="16" max="16384" width="9" style="2"/>
  </cols>
  <sheetData>
    <row r="1" spans="1:5">
      <c r="A1" s="3"/>
    </row>
    <row r="3" spans="1:5">
      <c r="B3" s="4" t="s">
        <v>28</v>
      </c>
      <c r="C3" s="116" t="s">
        <v>147</v>
      </c>
      <c r="D3" s="116"/>
      <c r="E3" s="116"/>
    </row>
    <row r="4" spans="1:5">
      <c r="B4" s="4" t="s">
        <v>30</v>
      </c>
      <c r="C4" s="122" t="s">
        <v>149</v>
      </c>
      <c r="D4" s="116"/>
      <c r="E4" s="116"/>
    </row>
    <row r="5" spans="1:5">
      <c r="B5" s="4" t="s">
        <v>32</v>
      </c>
      <c r="C5" s="5" t="s">
        <v>252</v>
      </c>
      <c r="D5" s="6"/>
      <c r="E5" s="7"/>
    </row>
    <row r="6" spans="1:5">
      <c r="B6" s="4" t="s">
        <v>127</v>
      </c>
      <c r="C6" s="126" t="s">
        <v>150</v>
      </c>
      <c r="D6" s="118"/>
      <c r="E6" s="119"/>
    </row>
    <row r="7" spans="1:5" ht="39.75" customHeight="1">
      <c r="B7" s="4" t="s">
        <v>34</v>
      </c>
      <c r="C7" s="120" t="s">
        <v>142</v>
      </c>
      <c r="D7" s="120"/>
      <c r="E7" s="120"/>
    </row>
    <row r="8" spans="1:5" ht="25.5" customHeight="1">
      <c r="B8" s="4" t="s">
        <v>36</v>
      </c>
      <c r="C8" s="120"/>
      <c r="D8" s="120"/>
      <c r="E8" s="120"/>
    </row>
    <row r="9" spans="1:5">
      <c r="B9" s="114" t="s">
        <v>37</v>
      </c>
      <c r="C9" s="114"/>
      <c r="D9" s="114"/>
      <c r="E9" s="114"/>
    </row>
    <row r="10" spans="1:5">
      <c r="B10" s="8" t="s">
        <v>38</v>
      </c>
      <c r="C10" s="8" t="s">
        <v>39</v>
      </c>
      <c r="D10" s="8" t="s">
        <v>40</v>
      </c>
      <c r="E10" s="8" t="s">
        <v>41</v>
      </c>
    </row>
    <row r="11" spans="1:5">
      <c r="B11" s="9" t="s">
        <v>254</v>
      </c>
      <c r="C11" s="10" t="s">
        <v>255</v>
      </c>
      <c r="D11" s="11" t="s">
        <v>43</v>
      </c>
      <c r="E11" s="11" t="s">
        <v>44</v>
      </c>
    </row>
    <row r="12" spans="1:5">
      <c r="B12" s="12" t="s">
        <v>268</v>
      </c>
      <c r="C12" s="12" t="s">
        <v>269</v>
      </c>
      <c r="D12" s="9" t="s">
        <v>270</v>
      </c>
      <c r="E12" s="11"/>
    </row>
    <row r="13" spans="1:5">
      <c r="B13" s="12" t="s">
        <v>271</v>
      </c>
      <c r="C13" s="12" t="s">
        <v>272</v>
      </c>
      <c r="D13" s="9" t="s">
        <v>258</v>
      </c>
      <c r="E13" s="9" t="s">
        <v>273</v>
      </c>
    </row>
    <row r="14" spans="1:5">
      <c r="B14" s="12" t="s">
        <v>274</v>
      </c>
      <c r="C14" s="12" t="s">
        <v>264</v>
      </c>
      <c r="D14" s="9" t="s">
        <v>275</v>
      </c>
      <c r="E14" s="9" t="s">
        <v>266</v>
      </c>
    </row>
    <row r="15" spans="1:5">
      <c r="B15" s="13"/>
      <c r="C15" s="13"/>
      <c r="D15" s="11"/>
      <c r="E15" s="11"/>
    </row>
    <row r="16" spans="1:5">
      <c r="B16" s="13"/>
      <c r="C16" s="13"/>
      <c r="D16" s="11"/>
      <c r="E16" s="11"/>
    </row>
    <row r="17" spans="2:5">
      <c r="B17" s="13"/>
      <c r="C17" s="13"/>
      <c r="D17" s="11"/>
      <c r="E17" s="11"/>
    </row>
    <row r="18" spans="2:5">
      <c r="B18" s="13"/>
      <c r="C18" s="13"/>
      <c r="D18" s="11"/>
      <c r="E18" s="11"/>
    </row>
    <row r="19" spans="2:5">
      <c r="B19" s="13"/>
      <c r="C19" s="13"/>
      <c r="D19" s="11"/>
      <c r="E19" s="11"/>
    </row>
    <row r="20" spans="2:5">
      <c r="B20" s="13"/>
      <c r="C20" s="13"/>
      <c r="D20" s="11"/>
      <c r="E20" s="11"/>
    </row>
    <row r="21" spans="2:5" ht="27.75" customHeight="1">
      <c r="B21" s="14" t="s">
        <v>57</v>
      </c>
      <c r="C21" s="115"/>
      <c r="D21" s="115"/>
      <c r="E21" s="115"/>
    </row>
    <row r="22" spans="2:5">
      <c r="B22" s="114" t="s">
        <v>59</v>
      </c>
      <c r="C22" s="114"/>
      <c r="D22" s="114"/>
      <c r="E22" s="114"/>
    </row>
    <row r="23" spans="2:5">
      <c r="B23" s="8" t="s">
        <v>38</v>
      </c>
      <c r="C23" s="8" t="s">
        <v>39</v>
      </c>
      <c r="D23" s="8" t="s">
        <v>40</v>
      </c>
      <c r="E23" s="8" t="s">
        <v>41</v>
      </c>
    </row>
    <row r="24" spans="2:5">
      <c r="B24" s="15" t="s">
        <v>60</v>
      </c>
      <c r="C24" s="16" t="str">
        <f>IFERROR(VLOOKUP(B24,[1]字段定义字典!B:I,8,FALSE),"")</f>
        <v>code</v>
      </c>
      <c r="D24" s="15" t="s">
        <v>43</v>
      </c>
      <c r="E24" s="15" t="s">
        <v>61</v>
      </c>
    </row>
    <row r="25" spans="2:5">
      <c r="B25" s="15" t="s">
        <v>62</v>
      </c>
      <c r="C25" s="16" t="str">
        <f>IFERROR(VLOOKUP(B25,[1]字段定义字典!B:I,8,FALSE),"")</f>
        <v>msg</v>
      </c>
      <c r="D25" s="15" t="s">
        <v>43</v>
      </c>
      <c r="E25" s="15" t="s">
        <v>63</v>
      </c>
    </row>
    <row r="26" spans="2:5">
      <c r="B26" s="15"/>
      <c r="C26" s="16"/>
      <c r="D26" s="15"/>
      <c r="E26" s="15"/>
    </row>
    <row r="27" spans="2:5">
      <c r="B27" s="17"/>
      <c r="C27" s="18"/>
      <c r="D27" s="15"/>
      <c r="E27" s="15"/>
    </row>
    <row r="28" spans="2:5">
      <c r="B28" s="19"/>
      <c r="C28" s="20"/>
      <c r="D28" s="15"/>
      <c r="E28" s="21"/>
    </row>
    <row r="29" spans="2:5">
      <c r="B29" s="21"/>
      <c r="C29" s="16"/>
      <c r="D29" s="21"/>
      <c r="E29" s="21"/>
    </row>
    <row r="30" spans="2:5" ht="21.75" customHeight="1">
      <c r="B30" s="14" t="s">
        <v>64</v>
      </c>
      <c r="C30" s="115" t="s">
        <v>65</v>
      </c>
      <c r="D30" s="115"/>
      <c r="E30" s="115"/>
    </row>
    <row r="39" ht="14.25" customHeight="1"/>
    <row r="40" ht="14.25" customHeight="1"/>
    <row r="41" ht="14.25" customHeight="1"/>
    <row r="42" s="1" customFormat="1" ht="14.25" customHeight="1"/>
    <row r="49" ht="14.25" customHeight="1"/>
    <row r="50" ht="14.25" customHeight="1"/>
    <row r="51" ht="14.25" customHeight="1"/>
    <row r="52" s="1" customFormat="1" ht="14.25" customHeight="1"/>
    <row r="66" spans="11:11">
      <c r="K66" s="1"/>
    </row>
    <row r="110" spans="4:4">
      <c r="D110" s="1"/>
    </row>
    <row r="116" spans="5:5">
      <c r="E116" s="1"/>
    </row>
    <row r="135" spans="4:4">
      <c r="D135" s="1"/>
    </row>
  </sheetData>
  <mergeCells count="9">
    <mergeCell ref="B9:E9"/>
    <mergeCell ref="C21:E21"/>
    <mergeCell ref="B22:E22"/>
    <mergeCell ref="C30:E30"/>
    <mergeCell ref="C3:E3"/>
    <mergeCell ref="C4:E4"/>
    <mergeCell ref="C6:E6"/>
    <mergeCell ref="C7:E7"/>
    <mergeCell ref="C8:E8"/>
  </mergeCells>
  <phoneticPr fontId="38" type="noConversion"/>
  <pageMargins left="0.69930555555555596" right="0.69930555555555596" top="0.75" bottom="0.75" header="0.3" footer="0.3"/>
  <pageSetup paperSize="9"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K135"/>
  <sheetViews>
    <sheetView workbookViewId="0">
      <selection activeCell="E16" sqref="E16"/>
    </sheetView>
  </sheetViews>
  <sheetFormatPr defaultColWidth="9" defaultRowHeight="13.5"/>
  <cols>
    <col min="1" max="1" width="3.625" style="2" customWidth="1"/>
    <col min="2" max="2" width="18" style="2" customWidth="1"/>
    <col min="3" max="3" width="20" style="2" customWidth="1"/>
    <col min="4" max="4" width="18.625" style="2" customWidth="1"/>
    <col min="5" max="5" width="22.125" style="2" customWidth="1"/>
    <col min="6" max="6" width="9" style="2"/>
    <col min="7" max="15" width="2.625" style="2" customWidth="1"/>
    <col min="16" max="16384" width="9" style="2"/>
  </cols>
  <sheetData>
    <row r="1" spans="1:5">
      <c r="A1" s="3"/>
    </row>
    <row r="3" spans="1:5">
      <c r="B3" s="4" t="s">
        <v>28</v>
      </c>
      <c r="C3" s="116" t="s">
        <v>151</v>
      </c>
      <c r="D3" s="116"/>
      <c r="E3" s="116"/>
    </row>
    <row r="4" spans="1:5">
      <c r="B4" s="4" t="s">
        <v>30</v>
      </c>
      <c r="C4" s="122" t="s">
        <v>153</v>
      </c>
      <c r="D4" s="116"/>
      <c r="E4" s="116"/>
    </row>
    <row r="5" spans="1:5">
      <c r="B5" s="4" t="s">
        <v>32</v>
      </c>
      <c r="C5" s="5" t="s">
        <v>252</v>
      </c>
      <c r="D5" s="6"/>
      <c r="E5" s="7"/>
    </row>
    <row r="6" spans="1:5">
      <c r="B6" s="4" t="s">
        <v>127</v>
      </c>
      <c r="C6" s="126" t="s">
        <v>154</v>
      </c>
      <c r="D6" s="118"/>
      <c r="E6" s="119"/>
    </row>
    <row r="7" spans="1:5" ht="39.75" customHeight="1">
      <c r="B7" s="4" t="s">
        <v>34</v>
      </c>
      <c r="C7" s="120" t="s">
        <v>142</v>
      </c>
      <c r="D7" s="120"/>
      <c r="E7" s="120"/>
    </row>
    <row r="8" spans="1:5" ht="25.5" customHeight="1">
      <c r="B8" s="4" t="s">
        <v>36</v>
      </c>
      <c r="C8" s="120"/>
      <c r="D8" s="120"/>
      <c r="E8" s="120"/>
    </row>
    <row r="9" spans="1:5">
      <c r="B9" s="114" t="s">
        <v>37</v>
      </c>
      <c r="C9" s="114"/>
      <c r="D9" s="114"/>
      <c r="E9" s="114"/>
    </row>
    <row r="10" spans="1:5">
      <c r="B10" s="8" t="s">
        <v>38</v>
      </c>
      <c r="C10" s="8" t="s">
        <v>39</v>
      </c>
      <c r="D10" s="8" t="s">
        <v>40</v>
      </c>
      <c r="E10" s="8" t="s">
        <v>41</v>
      </c>
    </row>
    <row r="11" spans="1:5">
      <c r="B11" s="9" t="s">
        <v>254</v>
      </c>
      <c r="C11" s="10" t="s">
        <v>255</v>
      </c>
      <c r="D11" s="11" t="s">
        <v>43</v>
      </c>
      <c r="E11" s="11" t="s">
        <v>44</v>
      </c>
    </row>
    <row r="12" spans="1:5">
      <c r="B12" s="12" t="s">
        <v>261</v>
      </c>
      <c r="C12" s="12" t="s">
        <v>80</v>
      </c>
      <c r="D12" s="9" t="s">
        <v>276</v>
      </c>
      <c r="E12" s="9" t="s">
        <v>44</v>
      </c>
    </row>
    <row r="13" spans="1:5">
      <c r="B13" s="13"/>
      <c r="C13" s="22"/>
      <c r="D13" s="11"/>
      <c r="E13" s="11"/>
    </row>
    <row r="14" spans="1:5">
      <c r="B14" s="13"/>
      <c r="C14" s="13"/>
      <c r="D14" s="11"/>
      <c r="E14" s="11"/>
    </row>
    <row r="15" spans="1:5">
      <c r="B15" s="13"/>
      <c r="C15" s="13"/>
      <c r="D15" s="11"/>
      <c r="E15" s="11"/>
    </row>
    <row r="16" spans="1:5">
      <c r="B16" s="13"/>
      <c r="C16" s="13"/>
      <c r="D16" s="11"/>
      <c r="E16" s="11"/>
    </row>
    <row r="17" spans="2:5">
      <c r="B17" s="13"/>
      <c r="C17" s="13"/>
      <c r="D17" s="11"/>
      <c r="E17" s="11"/>
    </row>
    <row r="18" spans="2:5">
      <c r="B18" s="13"/>
      <c r="C18" s="13"/>
      <c r="D18" s="11"/>
      <c r="E18" s="11"/>
    </row>
    <row r="19" spans="2:5">
      <c r="B19" s="13"/>
      <c r="C19" s="13"/>
      <c r="D19" s="11"/>
      <c r="E19" s="11"/>
    </row>
    <row r="20" spans="2:5">
      <c r="B20" s="13"/>
      <c r="C20" s="13"/>
      <c r="D20" s="11"/>
      <c r="E20" s="11"/>
    </row>
    <row r="21" spans="2:5" ht="27.75" customHeight="1">
      <c r="B21" s="14" t="s">
        <v>57</v>
      </c>
      <c r="C21" s="115"/>
      <c r="D21" s="115"/>
      <c r="E21" s="115"/>
    </row>
    <row r="22" spans="2:5">
      <c r="B22" s="114" t="s">
        <v>59</v>
      </c>
      <c r="C22" s="114"/>
      <c r="D22" s="114"/>
      <c r="E22" s="114"/>
    </row>
    <row r="23" spans="2:5">
      <c r="B23" s="8" t="s">
        <v>38</v>
      </c>
      <c r="C23" s="8" t="s">
        <v>39</v>
      </c>
      <c r="D23" s="8" t="s">
        <v>40</v>
      </c>
      <c r="E23" s="8" t="s">
        <v>41</v>
      </c>
    </row>
    <row r="24" spans="2:5">
      <c r="B24" s="15" t="s">
        <v>60</v>
      </c>
      <c r="C24" s="16" t="str">
        <f>IFERROR(VLOOKUP(B24,[1]字段定义字典!B:I,8,FALSE),"")</f>
        <v>code</v>
      </c>
      <c r="D24" s="15" t="s">
        <v>43</v>
      </c>
      <c r="E24" s="15" t="s">
        <v>61</v>
      </c>
    </row>
    <row r="25" spans="2:5">
      <c r="B25" s="15" t="s">
        <v>62</v>
      </c>
      <c r="C25" s="16" t="str">
        <f>IFERROR(VLOOKUP(B25,[1]字段定义字典!B:I,8,FALSE),"")</f>
        <v>msg</v>
      </c>
      <c r="D25" s="15" t="s">
        <v>43</v>
      </c>
      <c r="E25" s="15" t="s">
        <v>63</v>
      </c>
    </row>
    <row r="26" spans="2:5">
      <c r="B26" s="15"/>
      <c r="C26" s="16"/>
      <c r="D26" s="15"/>
      <c r="E26" s="15"/>
    </row>
    <row r="27" spans="2:5">
      <c r="B27" s="17"/>
      <c r="C27" s="18"/>
      <c r="D27" s="15"/>
      <c r="E27" s="15"/>
    </row>
    <row r="28" spans="2:5">
      <c r="B28" s="19"/>
      <c r="C28" s="20"/>
      <c r="D28" s="15"/>
      <c r="E28" s="21"/>
    </row>
    <row r="29" spans="2:5">
      <c r="B29" s="21"/>
      <c r="C29" s="16"/>
      <c r="D29" s="21"/>
      <c r="E29" s="21"/>
    </row>
    <row r="30" spans="2:5" ht="21.75" customHeight="1">
      <c r="B30" s="14" t="s">
        <v>64</v>
      </c>
      <c r="C30" s="115" t="s">
        <v>65</v>
      </c>
      <c r="D30" s="115"/>
      <c r="E30" s="115"/>
    </row>
    <row r="39" ht="14.25" customHeight="1"/>
    <row r="40" ht="14.25" customHeight="1"/>
    <row r="41" ht="14.25" customHeight="1"/>
    <row r="42" s="1" customFormat="1" ht="14.25" customHeight="1"/>
    <row r="49" ht="14.25" customHeight="1"/>
    <row r="50" ht="14.25" customHeight="1"/>
    <row r="51" ht="14.25" customHeight="1"/>
    <row r="52" s="1" customFormat="1" ht="14.25" customHeight="1"/>
    <row r="66" spans="11:11">
      <c r="K66" s="1"/>
    </row>
    <row r="110" spans="4:4">
      <c r="D110" s="1"/>
    </row>
    <row r="116" spans="5:5">
      <c r="E116" s="1"/>
    </row>
    <row r="135" spans="4:4">
      <c r="D135" s="1"/>
    </row>
  </sheetData>
  <mergeCells count="9">
    <mergeCell ref="B9:E9"/>
    <mergeCell ref="C21:E21"/>
    <mergeCell ref="B22:E22"/>
    <mergeCell ref="C30:E30"/>
    <mergeCell ref="C3:E3"/>
    <mergeCell ref="C4:E4"/>
    <mergeCell ref="C6:E6"/>
    <mergeCell ref="C7:E7"/>
    <mergeCell ref="C8:E8"/>
  </mergeCells>
  <phoneticPr fontId="38" type="noConversion"/>
  <pageMargins left="0.69930555555555596" right="0.69930555555555596" top="0.75" bottom="0.75" header="0.3" footer="0.3"/>
  <pageSetup paperSize="9"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K135"/>
  <sheetViews>
    <sheetView workbookViewId="0">
      <selection activeCell="C6" sqref="C6:E6"/>
    </sheetView>
  </sheetViews>
  <sheetFormatPr defaultColWidth="9" defaultRowHeight="13.5"/>
  <cols>
    <col min="1" max="1" width="3.625" style="2" customWidth="1"/>
    <col min="2" max="2" width="18" style="2" customWidth="1"/>
    <col min="3" max="3" width="20" style="2" customWidth="1"/>
    <col min="4" max="4" width="18.625" style="2" customWidth="1"/>
    <col min="5" max="5" width="22.125" style="2" customWidth="1"/>
    <col min="6" max="6" width="9" style="2"/>
    <col min="7" max="15" width="2.625" style="2" customWidth="1"/>
    <col min="16" max="16384" width="9" style="2"/>
  </cols>
  <sheetData>
    <row r="1" spans="1:5">
      <c r="A1" s="3"/>
    </row>
    <row r="3" spans="1:5">
      <c r="B3" s="4" t="s">
        <v>28</v>
      </c>
      <c r="C3" s="116" t="s">
        <v>155</v>
      </c>
      <c r="D3" s="116"/>
      <c r="E3" s="116"/>
    </row>
    <row r="4" spans="1:5">
      <c r="B4" s="4" t="s">
        <v>30</v>
      </c>
      <c r="C4" s="122" t="s">
        <v>157</v>
      </c>
      <c r="D4" s="116"/>
      <c r="E4" s="116"/>
    </row>
    <row r="5" spans="1:5">
      <c r="B5" s="4" t="s">
        <v>32</v>
      </c>
      <c r="C5" s="5" t="s">
        <v>252</v>
      </c>
      <c r="D5" s="6"/>
      <c r="E5" s="7"/>
    </row>
    <row r="6" spans="1:5">
      <c r="B6" s="4" t="s">
        <v>127</v>
      </c>
      <c r="C6" s="126" t="s">
        <v>158</v>
      </c>
      <c r="D6" s="118"/>
      <c r="E6" s="119"/>
    </row>
    <row r="7" spans="1:5" ht="39.75" customHeight="1">
      <c r="B7" s="4" t="s">
        <v>34</v>
      </c>
      <c r="C7" s="120" t="s">
        <v>142</v>
      </c>
      <c r="D7" s="120"/>
      <c r="E7" s="120"/>
    </row>
    <row r="8" spans="1:5" ht="25.5" customHeight="1">
      <c r="B8" s="4" t="s">
        <v>36</v>
      </c>
      <c r="C8" s="120"/>
      <c r="D8" s="120"/>
      <c r="E8" s="120"/>
    </row>
    <row r="9" spans="1:5">
      <c r="B9" s="114" t="s">
        <v>37</v>
      </c>
      <c r="C9" s="114"/>
      <c r="D9" s="114"/>
      <c r="E9" s="114"/>
    </row>
    <row r="10" spans="1:5">
      <c r="B10" s="8" t="s">
        <v>38</v>
      </c>
      <c r="C10" s="8" t="s">
        <v>39</v>
      </c>
      <c r="D10" s="8" t="s">
        <v>40</v>
      </c>
      <c r="E10" s="8" t="s">
        <v>41</v>
      </c>
    </row>
    <row r="11" spans="1:5">
      <c r="B11" s="9" t="s">
        <v>254</v>
      </c>
      <c r="C11" s="10" t="s">
        <v>255</v>
      </c>
      <c r="D11" s="11" t="s">
        <v>43</v>
      </c>
      <c r="E11" s="11" t="s">
        <v>44</v>
      </c>
    </row>
    <row r="12" spans="1:5">
      <c r="B12" s="12" t="s">
        <v>261</v>
      </c>
      <c r="C12" s="12" t="s">
        <v>80</v>
      </c>
      <c r="D12" s="9" t="s">
        <v>258</v>
      </c>
      <c r="E12" s="9" t="s">
        <v>44</v>
      </c>
    </row>
    <row r="13" spans="1:5">
      <c r="B13" s="12" t="s">
        <v>268</v>
      </c>
      <c r="C13" s="12" t="s">
        <v>269</v>
      </c>
      <c r="D13" s="9" t="s">
        <v>270</v>
      </c>
      <c r="E13" s="11"/>
    </row>
    <row r="14" spans="1:5">
      <c r="B14" s="12" t="s">
        <v>271</v>
      </c>
      <c r="C14" s="12" t="s">
        <v>272</v>
      </c>
      <c r="D14" s="9" t="s">
        <v>258</v>
      </c>
      <c r="E14" s="11"/>
    </row>
    <row r="15" spans="1:5">
      <c r="B15" s="12" t="s">
        <v>274</v>
      </c>
      <c r="C15" s="12" t="s">
        <v>264</v>
      </c>
      <c r="D15" s="9" t="s">
        <v>275</v>
      </c>
      <c r="E15" s="9" t="s">
        <v>266</v>
      </c>
    </row>
    <row r="16" spans="1:5">
      <c r="B16" s="13"/>
      <c r="C16" s="13"/>
      <c r="D16" s="11"/>
      <c r="E16" s="11"/>
    </row>
    <row r="17" spans="2:5">
      <c r="B17" s="13"/>
      <c r="C17" s="13"/>
      <c r="D17" s="11"/>
      <c r="E17" s="11"/>
    </row>
    <row r="18" spans="2:5">
      <c r="B18" s="13"/>
      <c r="C18" s="13"/>
      <c r="D18" s="11"/>
      <c r="E18" s="11"/>
    </row>
    <row r="19" spans="2:5">
      <c r="B19" s="13"/>
      <c r="C19" s="13"/>
      <c r="D19" s="11"/>
      <c r="E19" s="11"/>
    </row>
    <row r="20" spans="2:5">
      <c r="B20" s="13"/>
      <c r="C20" s="13"/>
      <c r="D20" s="11"/>
      <c r="E20" s="11"/>
    </row>
    <row r="21" spans="2:5" ht="27.75" customHeight="1">
      <c r="B21" s="14" t="s">
        <v>57</v>
      </c>
      <c r="C21" s="115"/>
      <c r="D21" s="115"/>
      <c r="E21" s="115"/>
    </row>
    <row r="22" spans="2:5">
      <c r="B22" s="114" t="s">
        <v>59</v>
      </c>
      <c r="C22" s="114"/>
      <c r="D22" s="114"/>
      <c r="E22" s="114"/>
    </row>
    <row r="23" spans="2:5">
      <c r="B23" s="8" t="s">
        <v>38</v>
      </c>
      <c r="C23" s="8" t="s">
        <v>39</v>
      </c>
      <c r="D23" s="8" t="s">
        <v>40</v>
      </c>
      <c r="E23" s="8" t="s">
        <v>41</v>
      </c>
    </row>
    <row r="24" spans="2:5">
      <c r="B24" s="15" t="s">
        <v>60</v>
      </c>
      <c r="C24" s="16" t="str">
        <f>IFERROR(VLOOKUP(B24,[1]字段定义字典!B:I,8,FALSE),"")</f>
        <v>code</v>
      </c>
      <c r="D24" s="15" t="s">
        <v>43</v>
      </c>
      <c r="E24" s="15" t="s">
        <v>61</v>
      </c>
    </row>
    <row r="25" spans="2:5">
      <c r="B25" s="15" t="s">
        <v>62</v>
      </c>
      <c r="C25" s="16" t="str">
        <f>IFERROR(VLOOKUP(B25,[1]字段定义字典!B:I,8,FALSE),"")</f>
        <v>msg</v>
      </c>
      <c r="D25" s="15" t="s">
        <v>43</v>
      </c>
      <c r="E25" s="15" t="s">
        <v>63</v>
      </c>
    </row>
    <row r="26" spans="2:5">
      <c r="B26" s="15"/>
      <c r="C26" s="16"/>
      <c r="D26" s="15"/>
      <c r="E26" s="15"/>
    </row>
    <row r="27" spans="2:5">
      <c r="B27" s="17"/>
      <c r="C27" s="18"/>
      <c r="D27" s="15"/>
      <c r="E27" s="15"/>
    </row>
    <row r="28" spans="2:5">
      <c r="B28" s="19"/>
      <c r="C28" s="20"/>
      <c r="D28" s="15"/>
      <c r="E28" s="21"/>
    </row>
    <row r="29" spans="2:5">
      <c r="B29" s="21"/>
      <c r="C29" s="16"/>
      <c r="D29" s="21"/>
      <c r="E29" s="21"/>
    </row>
    <row r="30" spans="2:5" ht="21.75" customHeight="1">
      <c r="B30" s="14" t="s">
        <v>64</v>
      </c>
      <c r="C30" s="115" t="s">
        <v>65</v>
      </c>
      <c r="D30" s="115"/>
      <c r="E30" s="115"/>
    </row>
    <row r="39" ht="14.25" customHeight="1"/>
    <row r="40" ht="14.25" customHeight="1"/>
    <row r="41" ht="14.25" customHeight="1"/>
    <row r="42" s="1" customFormat="1" ht="14.25" customHeight="1"/>
    <row r="49" ht="14.25" customHeight="1"/>
    <row r="50" ht="14.25" customHeight="1"/>
    <row r="51" ht="14.25" customHeight="1"/>
    <row r="52" s="1" customFormat="1" ht="14.25" customHeight="1"/>
    <row r="66" spans="11:11">
      <c r="K66" s="1"/>
    </row>
    <row r="110" spans="4:4">
      <c r="D110" s="1"/>
    </row>
    <row r="116" spans="5:5">
      <c r="E116" s="1"/>
    </row>
    <row r="135" spans="4:4">
      <c r="D135" s="1"/>
    </row>
  </sheetData>
  <mergeCells count="9">
    <mergeCell ref="B9:E9"/>
    <mergeCell ref="C21:E21"/>
    <mergeCell ref="B22:E22"/>
    <mergeCell ref="C30:E30"/>
    <mergeCell ref="C3:E3"/>
    <mergeCell ref="C4:E4"/>
    <mergeCell ref="C6:E6"/>
    <mergeCell ref="C7:E7"/>
    <mergeCell ref="C8:E8"/>
  </mergeCells>
  <phoneticPr fontId="38" type="noConversion"/>
  <pageMargins left="0.69930555555555596" right="0.69930555555555596" top="0.75" bottom="0.75" header="0.3" footer="0.3"/>
  <pageSetup paperSize="9"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K135"/>
  <sheetViews>
    <sheetView topLeftCell="A16" workbookViewId="0">
      <selection activeCell="B3" sqref="B3:E26"/>
    </sheetView>
  </sheetViews>
  <sheetFormatPr defaultColWidth="9" defaultRowHeight="13.5"/>
  <cols>
    <col min="1" max="1" width="3.625" style="2" customWidth="1"/>
    <col min="2" max="2" width="18" style="2" customWidth="1"/>
    <col min="3" max="3" width="20" style="2" customWidth="1"/>
    <col min="4" max="4" width="18.625" style="2" customWidth="1"/>
    <col min="5" max="5" width="22.125" style="2" customWidth="1"/>
    <col min="6" max="6" width="9" style="2"/>
    <col min="7" max="15" width="2.625" style="2" customWidth="1"/>
    <col min="16" max="16384" width="9" style="2"/>
  </cols>
  <sheetData>
    <row r="1" spans="1:5">
      <c r="A1" s="3"/>
    </row>
    <row r="3" spans="1:5">
      <c r="B3" s="4" t="s">
        <v>28</v>
      </c>
      <c r="C3" s="116" t="s">
        <v>160</v>
      </c>
      <c r="D3" s="116"/>
      <c r="E3" s="116"/>
    </row>
    <row r="4" spans="1:5">
      <c r="B4" s="4" t="s">
        <v>30</v>
      </c>
      <c r="C4" s="116" t="s">
        <v>162</v>
      </c>
      <c r="D4" s="116"/>
      <c r="E4" s="116"/>
    </row>
    <row r="5" spans="1:5">
      <c r="B5" s="4" t="s">
        <v>32</v>
      </c>
      <c r="C5" s="5" t="s">
        <v>252</v>
      </c>
      <c r="D5" s="6"/>
      <c r="E5" s="7"/>
    </row>
    <row r="6" spans="1:5">
      <c r="B6" s="4" t="s">
        <v>127</v>
      </c>
      <c r="C6" s="126" t="s">
        <v>163</v>
      </c>
      <c r="D6" s="118"/>
      <c r="E6" s="119"/>
    </row>
    <row r="7" spans="1:5" ht="39.75" customHeight="1">
      <c r="B7" s="4" t="s">
        <v>34</v>
      </c>
      <c r="C7" s="120" t="s">
        <v>164</v>
      </c>
      <c r="D7" s="120"/>
      <c r="E7" s="120"/>
    </row>
    <row r="8" spans="1:5" ht="25.5" customHeight="1">
      <c r="B8" s="4" t="s">
        <v>36</v>
      </c>
      <c r="C8" s="120"/>
      <c r="D8" s="120"/>
      <c r="E8" s="120"/>
    </row>
    <row r="9" spans="1:5">
      <c r="B9" s="114" t="s">
        <v>37</v>
      </c>
      <c r="C9" s="114"/>
      <c r="D9" s="114"/>
      <c r="E9" s="114"/>
    </row>
    <row r="10" spans="1:5">
      <c r="B10" s="8" t="s">
        <v>38</v>
      </c>
      <c r="C10" s="8" t="s">
        <v>39</v>
      </c>
      <c r="D10" s="8" t="s">
        <v>40</v>
      </c>
      <c r="E10" s="8" t="s">
        <v>41</v>
      </c>
    </row>
    <row r="11" spans="1:5">
      <c r="B11" s="9" t="s">
        <v>254</v>
      </c>
      <c r="C11" s="10" t="s">
        <v>255</v>
      </c>
      <c r="D11" s="11" t="s">
        <v>43</v>
      </c>
      <c r="E11" s="11" t="s">
        <v>44</v>
      </c>
    </row>
    <row r="12" spans="1:5">
      <c r="B12" s="13"/>
      <c r="C12" s="22"/>
      <c r="D12" s="11"/>
      <c r="E12" s="11"/>
    </row>
    <row r="13" spans="1:5">
      <c r="B13" s="13"/>
      <c r="C13" s="22"/>
      <c r="D13" s="11"/>
      <c r="E13" s="11"/>
    </row>
    <row r="14" spans="1:5">
      <c r="B14" s="13"/>
      <c r="C14" s="13"/>
      <c r="D14" s="11"/>
      <c r="E14" s="11"/>
    </row>
    <row r="15" spans="1:5">
      <c r="B15" s="13"/>
      <c r="C15" s="13"/>
      <c r="D15" s="11"/>
      <c r="E15" s="11"/>
    </row>
    <row r="16" spans="1:5">
      <c r="B16" s="13"/>
      <c r="C16" s="13"/>
      <c r="D16" s="11"/>
      <c r="E16" s="11"/>
    </row>
    <row r="17" spans="2:5">
      <c r="B17" s="13"/>
      <c r="C17" s="13"/>
      <c r="D17" s="11"/>
      <c r="E17" s="11"/>
    </row>
    <row r="18" spans="2:5">
      <c r="B18" s="13"/>
      <c r="C18" s="13"/>
      <c r="D18" s="11"/>
      <c r="E18" s="11"/>
    </row>
    <row r="19" spans="2:5">
      <c r="B19" s="13"/>
      <c r="C19" s="13"/>
      <c r="D19" s="11"/>
      <c r="E19" s="11"/>
    </row>
    <row r="20" spans="2:5">
      <c r="B20" s="13"/>
      <c r="C20" s="13"/>
      <c r="D20" s="11"/>
      <c r="E20" s="11"/>
    </row>
    <row r="21" spans="2:5" ht="27.75" customHeight="1">
      <c r="B21" s="14" t="s">
        <v>57</v>
      </c>
      <c r="C21" s="115"/>
      <c r="D21" s="115"/>
      <c r="E21" s="115"/>
    </row>
    <row r="22" spans="2:5">
      <c r="B22" s="114" t="s">
        <v>59</v>
      </c>
      <c r="C22" s="114"/>
      <c r="D22" s="114"/>
      <c r="E22" s="114"/>
    </row>
    <row r="23" spans="2:5">
      <c r="B23" s="8" t="s">
        <v>38</v>
      </c>
      <c r="C23" s="8" t="s">
        <v>39</v>
      </c>
      <c r="D23" s="8" t="s">
        <v>40</v>
      </c>
      <c r="E23" s="8" t="s">
        <v>41</v>
      </c>
    </row>
    <row r="24" spans="2:5">
      <c r="B24" s="15" t="s">
        <v>60</v>
      </c>
      <c r="C24" s="16" t="str">
        <f>IFERROR(VLOOKUP(B24,[1]字段定义字典!B:I,8,FALSE),"")</f>
        <v>code</v>
      </c>
      <c r="D24" s="15" t="s">
        <v>43</v>
      </c>
      <c r="E24" s="15" t="s">
        <v>61</v>
      </c>
    </row>
    <row r="25" spans="2:5">
      <c r="B25" s="15" t="s">
        <v>62</v>
      </c>
      <c r="C25" s="16" t="str">
        <f>IFERROR(VLOOKUP(B25,[1]字段定义字典!B:I,8,FALSE),"")</f>
        <v>msg</v>
      </c>
      <c r="D25" s="15" t="s">
        <v>43</v>
      </c>
      <c r="E25" s="15" t="s">
        <v>63</v>
      </c>
    </row>
    <row r="26" spans="2:5">
      <c r="B26" s="15"/>
      <c r="C26" s="16"/>
      <c r="D26" s="15"/>
      <c r="E26" s="15"/>
    </row>
    <row r="27" spans="2:5">
      <c r="B27" s="17"/>
      <c r="C27" s="18"/>
      <c r="D27" s="15"/>
      <c r="E27" s="15"/>
    </row>
    <row r="28" spans="2:5">
      <c r="B28" s="19"/>
      <c r="C28" s="20"/>
      <c r="D28" s="15"/>
      <c r="E28" s="21"/>
    </row>
    <row r="29" spans="2:5">
      <c r="B29" s="21"/>
      <c r="C29" s="16"/>
      <c r="D29" s="21"/>
      <c r="E29" s="21"/>
    </row>
    <row r="30" spans="2:5" ht="21.75" customHeight="1">
      <c r="B30" s="14" t="s">
        <v>64</v>
      </c>
      <c r="C30" s="115" t="s">
        <v>65</v>
      </c>
      <c r="D30" s="115"/>
      <c r="E30" s="115"/>
    </row>
    <row r="39" ht="14.25" customHeight="1"/>
    <row r="40" ht="14.25" customHeight="1"/>
    <row r="41" ht="14.25" customHeight="1"/>
    <row r="42" s="1" customFormat="1" ht="14.25" customHeight="1"/>
    <row r="49" ht="14.25" customHeight="1"/>
    <row r="50" ht="14.25" customHeight="1"/>
    <row r="51" ht="14.25" customHeight="1"/>
    <row r="52" s="1" customFormat="1" ht="14.25" customHeight="1"/>
    <row r="66" spans="11:11">
      <c r="K66" s="1"/>
    </row>
    <row r="110" spans="4:4">
      <c r="D110" s="1"/>
    </row>
    <row r="116" spans="5:5">
      <c r="E116" s="1"/>
    </row>
    <row r="135" spans="4:4">
      <c r="D135" s="1"/>
    </row>
  </sheetData>
  <mergeCells count="9">
    <mergeCell ref="B9:E9"/>
    <mergeCell ref="C21:E21"/>
    <mergeCell ref="B22:E22"/>
    <mergeCell ref="C30:E30"/>
    <mergeCell ref="C3:E3"/>
    <mergeCell ref="C4:E4"/>
    <mergeCell ref="C6:E6"/>
    <mergeCell ref="C7:E7"/>
    <mergeCell ref="C8:E8"/>
  </mergeCells>
  <phoneticPr fontId="38" type="noConversion"/>
  <pageMargins left="0.69930555555555596" right="0.69930555555555596" top="0.75" bottom="0.75" header="0.3" footer="0.3"/>
  <pageSetup paperSize="9"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K135"/>
  <sheetViews>
    <sheetView workbookViewId="0">
      <selection activeCell="B13" sqref="B13"/>
    </sheetView>
  </sheetViews>
  <sheetFormatPr defaultColWidth="9" defaultRowHeight="13.5"/>
  <cols>
    <col min="1" max="1" width="3.625" style="2" customWidth="1"/>
    <col min="2" max="2" width="18" style="2" customWidth="1"/>
    <col min="3" max="3" width="20" style="2" customWidth="1"/>
    <col min="4" max="4" width="18.625" style="2" customWidth="1"/>
    <col min="5" max="5" width="22.125" style="2" customWidth="1"/>
    <col min="6" max="6" width="9" style="2"/>
    <col min="7" max="15" width="2.625" style="2" customWidth="1"/>
    <col min="16" max="16384" width="9" style="2"/>
  </cols>
  <sheetData>
    <row r="1" spans="1:5">
      <c r="A1" s="3"/>
    </row>
    <row r="3" spans="1:5">
      <c r="B3" s="4" t="s">
        <v>28</v>
      </c>
      <c r="C3" s="116" t="s">
        <v>165</v>
      </c>
      <c r="D3" s="116"/>
      <c r="E3" s="116"/>
    </row>
    <row r="4" spans="1:5">
      <c r="B4" s="4" t="s">
        <v>30</v>
      </c>
      <c r="C4" s="116" t="s">
        <v>167</v>
      </c>
      <c r="D4" s="116"/>
      <c r="E4" s="116"/>
    </row>
    <row r="5" spans="1:5">
      <c r="B5" s="4" t="s">
        <v>32</v>
      </c>
      <c r="C5" s="5" t="s">
        <v>252</v>
      </c>
      <c r="D5" s="6"/>
      <c r="E5" s="7"/>
    </row>
    <row r="6" spans="1:5">
      <c r="B6" s="4" t="s">
        <v>127</v>
      </c>
      <c r="C6" s="126" t="s">
        <v>168</v>
      </c>
      <c r="D6" s="118"/>
      <c r="E6" s="119"/>
    </row>
    <row r="7" spans="1:5" ht="39.75" customHeight="1">
      <c r="B7" s="4" t="s">
        <v>34</v>
      </c>
      <c r="C7" s="120" t="s">
        <v>164</v>
      </c>
      <c r="D7" s="120"/>
      <c r="E7" s="120"/>
    </row>
    <row r="8" spans="1:5" ht="25.5" customHeight="1">
      <c r="B8" s="4" t="s">
        <v>36</v>
      </c>
      <c r="C8" s="120"/>
      <c r="D8" s="120"/>
      <c r="E8" s="120"/>
    </row>
    <row r="9" spans="1:5">
      <c r="B9" s="114" t="s">
        <v>37</v>
      </c>
      <c r="C9" s="114"/>
      <c r="D9" s="114"/>
      <c r="E9" s="114"/>
    </row>
    <row r="10" spans="1:5">
      <c r="B10" s="8" t="s">
        <v>38</v>
      </c>
      <c r="C10" s="8" t="s">
        <v>39</v>
      </c>
      <c r="D10" s="8" t="s">
        <v>40</v>
      </c>
      <c r="E10" s="8" t="s">
        <v>41</v>
      </c>
    </row>
    <row r="11" spans="1:5">
      <c r="B11" s="9" t="s">
        <v>254</v>
      </c>
      <c r="C11" s="10" t="s">
        <v>255</v>
      </c>
      <c r="D11" s="11" t="s">
        <v>43</v>
      </c>
      <c r="E11" s="11" t="s">
        <v>44</v>
      </c>
    </row>
    <row r="12" spans="1:5">
      <c r="B12" s="12" t="s">
        <v>277</v>
      </c>
      <c r="C12" s="12" t="s">
        <v>278</v>
      </c>
      <c r="D12" s="9" t="s">
        <v>258</v>
      </c>
      <c r="E12" s="9" t="s">
        <v>44</v>
      </c>
    </row>
    <row r="13" spans="1:5">
      <c r="B13" s="12" t="s">
        <v>274</v>
      </c>
      <c r="C13" s="12" t="s">
        <v>279</v>
      </c>
      <c r="D13" s="9" t="s">
        <v>280</v>
      </c>
      <c r="E13" s="9" t="s">
        <v>266</v>
      </c>
    </row>
    <row r="14" spans="1:5">
      <c r="B14" s="13"/>
      <c r="C14" s="13"/>
      <c r="D14" s="11"/>
      <c r="E14" s="11"/>
    </row>
    <row r="15" spans="1:5">
      <c r="B15" s="13"/>
      <c r="C15" s="13"/>
      <c r="D15" s="11"/>
      <c r="E15" s="11"/>
    </row>
    <row r="16" spans="1:5">
      <c r="B16" s="13"/>
      <c r="C16" s="13"/>
      <c r="D16" s="11"/>
      <c r="E16" s="11"/>
    </row>
    <row r="17" spans="2:5">
      <c r="B17" s="13"/>
      <c r="C17" s="13"/>
      <c r="D17" s="11"/>
      <c r="E17" s="11"/>
    </row>
    <row r="18" spans="2:5">
      <c r="B18" s="13"/>
      <c r="C18" s="13"/>
      <c r="D18" s="11"/>
      <c r="E18" s="11"/>
    </row>
    <row r="19" spans="2:5">
      <c r="B19" s="13"/>
      <c r="C19" s="13"/>
      <c r="D19" s="11"/>
      <c r="E19" s="11"/>
    </row>
    <row r="20" spans="2:5">
      <c r="B20" s="13"/>
      <c r="C20" s="13"/>
      <c r="D20" s="11"/>
      <c r="E20" s="11"/>
    </row>
    <row r="21" spans="2:5" ht="27.75" customHeight="1">
      <c r="B21" s="14" t="s">
        <v>57</v>
      </c>
      <c r="C21" s="115"/>
      <c r="D21" s="115"/>
      <c r="E21" s="115"/>
    </row>
    <row r="22" spans="2:5">
      <c r="B22" s="114" t="s">
        <v>59</v>
      </c>
      <c r="C22" s="114"/>
      <c r="D22" s="114"/>
      <c r="E22" s="114"/>
    </row>
    <row r="23" spans="2:5">
      <c r="B23" s="8" t="s">
        <v>38</v>
      </c>
      <c r="C23" s="8" t="s">
        <v>39</v>
      </c>
      <c r="D23" s="8" t="s">
        <v>40</v>
      </c>
      <c r="E23" s="8" t="s">
        <v>41</v>
      </c>
    </row>
    <row r="24" spans="2:5">
      <c r="B24" s="15" t="s">
        <v>60</v>
      </c>
      <c r="C24" s="16" t="str">
        <f>IFERROR(VLOOKUP(B24,[1]字段定义字典!B:I,8,FALSE),"")</f>
        <v>code</v>
      </c>
      <c r="D24" s="15" t="s">
        <v>43</v>
      </c>
      <c r="E24" s="15" t="s">
        <v>61</v>
      </c>
    </row>
    <row r="25" spans="2:5">
      <c r="B25" s="15" t="s">
        <v>62</v>
      </c>
      <c r="C25" s="16" t="str">
        <f>IFERROR(VLOOKUP(B25,[1]字段定义字典!B:I,8,FALSE),"")</f>
        <v>msg</v>
      </c>
      <c r="D25" s="15" t="s">
        <v>43</v>
      </c>
      <c r="E25" s="15" t="s">
        <v>63</v>
      </c>
    </row>
    <row r="26" spans="2:5">
      <c r="B26" s="15"/>
      <c r="C26" s="16"/>
      <c r="D26" s="15"/>
      <c r="E26" s="15"/>
    </row>
    <row r="27" spans="2:5">
      <c r="B27" s="17"/>
      <c r="C27" s="18"/>
      <c r="D27" s="15"/>
      <c r="E27" s="15"/>
    </row>
    <row r="28" spans="2:5">
      <c r="B28" s="19"/>
      <c r="C28" s="20"/>
      <c r="D28" s="15"/>
      <c r="E28" s="21"/>
    </row>
    <row r="29" spans="2:5">
      <c r="B29" s="21"/>
      <c r="C29" s="16"/>
      <c r="D29" s="21"/>
      <c r="E29" s="21"/>
    </row>
    <row r="30" spans="2:5" ht="21.75" customHeight="1">
      <c r="B30" s="14" t="s">
        <v>64</v>
      </c>
      <c r="C30" s="115" t="s">
        <v>65</v>
      </c>
      <c r="D30" s="115"/>
      <c r="E30" s="115"/>
    </row>
    <row r="39" ht="14.25" customHeight="1"/>
    <row r="40" ht="14.25" customHeight="1"/>
    <row r="41" ht="14.25" customHeight="1"/>
    <row r="42" s="1" customFormat="1" ht="14.25" customHeight="1"/>
    <row r="49" ht="14.25" customHeight="1"/>
    <row r="50" ht="14.25" customHeight="1"/>
    <row r="51" ht="14.25" customHeight="1"/>
    <row r="52" s="1" customFormat="1" ht="14.25" customHeight="1"/>
    <row r="66" spans="11:11">
      <c r="K66" s="1"/>
    </row>
    <row r="110" spans="4:4">
      <c r="D110" s="1"/>
    </row>
    <row r="116" spans="5:5">
      <c r="E116" s="1"/>
    </row>
    <row r="135" spans="4:4">
      <c r="D135" s="1"/>
    </row>
  </sheetData>
  <mergeCells count="9">
    <mergeCell ref="B9:E9"/>
    <mergeCell ref="C21:E21"/>
    <mergeCell ref="B22:E22"/>
    <mergeCell ref="C30:E30"/>
    <mergeCell ref="C3:E3"/>
    <mergeCell ref="C4:E4"/>
    <mergeCell ref="C6:E6"/>
    <mergeCell ref="C7:E7"/>
    <mergeCell ref="C8:E8"/>
  </mergeCells>
  <phoneticPr fontId="38" type="noConversion"/>
  <pageMargins left="0.69930555555555596" right="0.69930555555555596" top="0.75" bottom="0.75" header="0.3" footer="0.3"/>
  <pageSetup paperSize="9"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135"/>
  <sheetViews>
    <sheetView workbookViewId="0">
      <selection activeCell="E19" sqref="E19"/>
    </sheetView>
  </sheetViews>
  <sheetFormatPr defaultColWidth="9" defaultRowHeight="13.5"/>
  <cols>
    <col min="1" max="1" width="3.625" style="2" customWidth="1"/>
    <col min="2" max="2" width="18" style="2" customWidth="1"/>
    <col min="3" max="3" width="20" style="2" customWidth="1"/>
    <col min="4" max="4" width="18.625" style="2" customWidth="1"/>
    <col min="5" max="5" width="22.125" style="2" customWidth="1"/>
    <col min="6" max="6" width="9" style="2"/>
    <col min="7" max="15" width="2.625" style="2" customWidth="1"/>
    <col min="16" max="16384" width="9" style="2"/>
  </cols>
  <sheetData>
    <row r="1" spans="1:5">
      <c r="A1" s="3"/>
    </row>
    <row r="3" spans="1:5">
      <c r="B3" s="4" t="s">
        <v>28</v>
      </c>
      <c r="C3" s="116" t="s">
        <v>169</v>
      </c>
      <c r="D3" s="116"/>
      <c r="E3" s="116"/>
    </row>
    <row r="4" spans="1:5">
      <c r="B4" s="4" t="s">
        <v>30</v>
      </c>
      <c r="C4" s="116" t="s">
        <v>171</v>
      </c>
      <c r="D4" s="116"/>
      <c r="E4" s="116"/>
    </row>
    <row r="5" spans="1:5">
      <c r="B5" s="4" t="s">
        <v>32</v>
      </c>
      <c r="C5" s="5" t="s">
        <v>252</v>
      </c>
      <c r="D5" s="6"/>
      <c r="E5" s="7"/>
    </row>
    <row r="6" spans="1:5">
      <c r="B6" s="4" t="s">
        <v>127</v>
      </c>
      <c r="C6" s="126" t="s">
        <v>172</v>
      </c>
      <c r="D6" s="118"/>
      <c r="E6" s="119"/>
    </row>
    <row r="7" spans="1:5" ht="39.75" customHeight="1">
      <c r="B7" s="4" t="s">
        <v>34</v>
      </c>
      <c r="C7" s="120" t="s">
        <v>164</v>
      </c>
      <c r="D7" s="120"/>
      <c r="E7" s="120"/>
    </row>
    <row r="8" spans="1:5" ht="25.5" customHeight="1">
      <c r="B8" s="4" t="s">
        <v>36</v>
      </c>
      <c r="C8" s="120"/>
      <c r="D8" s="120"/>
      <c r="E8" s="120"/>
    </row>
    <row r="9" spans="1:5">
      <c r="B9" s="114" t="s">
        <v>37</v>
      </c>
      <c r="C9" s="114"/>
      <c r="D9" s="114"/>
      <c r="E9" s="114"/>
    </row>
    <row r="10" spans="1:5">
      <c r="B10" s="8" t="s">
        <v>38</v>
      </c>
      <c r="C10" s="8" t="s">
        <v>39</v>
      </c>
      <c r="D10" s="8" t="s">
        <v>40</v>
      </c>
      <c r="E10" s="8" t="s">
        <v>41</v>
      </c>
    </row>
    <row r="11" spans="1:5">
      <c r="B11" s="9" t="s">
        <v>254</v>
      </c>
      <c r="C11" s="10" t="s">
        <v>255</v>
      </c>
      <c r="D11" s="11" t="s">
        <v>43</v>
      </c>
      <c r="E11" s="11" t="s">
        <v>44</v>
      </c>
    </row>
    <row r="12" spans="1:5">
      <c r="B12" s="12" t="s">
        <v>256</v>
      </c>
      <c r="C12" s="12" t="s">
        <v>257</v>
      </c>
      <c r="D12" s="9" t="s">
        <v>258</v>
      </c>
      <c r="E12" s="9" t="s">
        <v>44</v>
      </c>
    </row>
    <row r="13" spans="1:5">
      <c r="B13" s="12" t="s">
        <v>259</v>
      </c>
      <c r="C13" s="12" t="s">
        <v>260</v>
      </c>
      <c r="D13" s="9" t="s">
        <v>270</v>
      </c>
      <c r="E13" s="11"/>
    </row>
    <row r="14" spans="1:5">
      <c r="B14" s="12" t="s">
        <v>281</v>
      </c>
      <c r="C14" s="12" t="s">
        <v>282</v>
      </c>
      <c r="D14" s="9" t="s">
        <v>258</v>
      </c>
      <c r="E14" s="11"/>
    </row>
    <row r="15" spans="1:5">
      <c r="B15" s="12" t="s">
        <v>274</v>
      </c>
      <c r="C15" s="12" t="s">
        <v>279</v>
      </c>
      <c r="D15" s="9" t="s">
        <v>280</v>
      </c>
      <c r="E15" s="9" t="s">
        <v>266</v>
      </c>
    </row>
    <row r="16" spans="1:5">
      <c r="B16" s="13"/>
      <c r="C16" s="13"/>
      <c r="D16" s="11"/>
      <c r="E16" s="11"/>
    </row>
    <row r="17" spans="2:5">
      <c r="B17" s="13"/>
      <c r="C17" s="13"/>
      <c r="D17" s="11"/>
      <c r="E17" s="11"/>
    </row>
    <row r="18" spans="2:5">
      <c r="B18" s="13"/>
      <c r="C18" s="13"/>
      <c r="D18" s="11"/>
      <c r="E18" s="11"/>
    </row>
    <row r="19" spans="2:5">
      <c r="B19" s="13"/>
      <c r="C19" s="13"/>
      <c r="D19" s="11"/>
      <c r="E19" s="11"/>
    </row>
    <row r="20" spans="2:5">
      <c r="B20" s="13"/>
      <c r="C20" s="13"/>
      <c r="D20" s="11"/>
      <c r="E20" s="11"/>
    </row>
    <row r="21" spans="2:5" ht="27.75" customHeight="1">
      <c r="B21" s="14" t="s">
        <v>57</v>
      </c>
      <c r="C21" s="115"/>
      <c r="D21" s="115"/>
      <c r="E21" s="115"/>
    </row>
    <row r="22" spans="2:5">
      <c r="B22" s="114" t="s">
        <v>59</v>
      </c>
      <c r="C22" s="114"/>
      <c r="D22" s="114"/>
      <c r="E22" s="114"/>
    </row>
    <row r="23" spans="2:5">
      <c r="B23" s="8" t="s">
        <v>38</v>
      </c>
      <c r="C23" s="8" t="s">
        <v>39</v>
      </c>
      <c r="D23" s="8" t="s">
        <v>40</v>
      </c>
      <c r="E23" s="8" t="s">
        <v>41</v>
      </c>
    </row>
    <row r="24" spans="2:5">
      <c r="B24" s="15" t="s">
        <v>60</v>
      </c>
      <c r="C24" s="16" t="str">
        <f>IFERROR(VLOOKUP(B24,[1]字段定义字典!B:I,8,FALSE),"")</f>
        <v>code</v>
      </c>
      <c r="D24" s="15" t="s">
        <v>43</v>
      </c>
      <c r="E24" s="15" t="s">
        <v>61</v>
      </c>
    </row>
    <row r="25" spans="2:5">
      <c r="B25" s="15" t="s">
        <v>62</v>
      </c>
      <c r="C25" s="16" t="str">
        <f>IFERROR(VLOOKUP(B25,[1]字段定义字典!B:I,8,FALSE),"")</f>
        <v>msg</v>
      </c>
      <c r="D25" s="15" t="s">
        <v>43</v>
      </c>
      <c r="E25" s="15" t="s">
        <v>63</v>
      </c>
    </row>
    <row r="26" spans="2:5">
      <c r="B26" s="15"/>
      <c r="C26" s="16"/>
      <c r="D26" s="15"/>
      <c r="E26" s="15"/>
    </row>
    <row r="27" spans="2:5">
      <c r="B27" s="17"/>
      <c r="C27" s="18"/>
      <c r="D27" s="15"/>
      <c r="E27" s="15"/>
    </row>
    <row r="28" spans="2:5">
      <c r="B28" s="19"/>
      <c r="C28" s="20"/>
      <c r="D28" s="15"/>
      <c r="E28" s="21"/>
    </row>
    <row r="29" spans="2:5">
      <c r="B29" s="21"/>
      <c r="C29" s="16"/>
      <c r="D29" s="21"/>
      <c r="E29" s="21"/>
    </row>
    <row r="30" spans="2:5" ht="21.75" customHeight="1">
      <c r="B30" s="14" t="s">
        <v>64</v>
      </c>
      <c r="C30" s="115" t="s">
        <v>65</v>
      </c>
      <c r="D30" s="115"/>
      <c r="E30" s="115"/>
    </row>
    <row r="39" ht="14.25" customHeight="1"/>
    <row r="40" ht="14.25" customHeight="1"/>
    <row r="41" ht="14.25" customHeight="1"/>
    <row r="42" s="1" customFormat="1" ht="14.25" customHeight="1"/>
    <row r="49" ht="14.25" customHeight="1"/>
    <row r="50" ht="14.25" customHeight="1"/>
    <row r="51" ht="14.25" customHeight="1"/>
    <row r="52" s="1" customFormat="1" ht="14.25" customHeight="1"/>
    <row r="66" spans="11:11">
      <c r="K66" s="1"/>
    </row>
    <row r="110" spans="4:4">
      <c r="D110" s="1"/>
    </row>
    <row r="116" spans="5:5">
      <c r="E116" s="1"/>
    </row>
    <row r="135" spans="4:4">
      <c r="D135" s="1"/>
    </row>
  </sheetData>
  <mergeCells count="9">
    <mergeCell ref="B9:E9"/>
    <mergeCell ref="C21:E21"/>
    <mergeCell ref="B22:E22"/>
    <mergeCell ref="C30:E30"/>
    <mergeCell ref="C3:E3"/>
    <mergeCell ref="C4:E4"/>
    <mergeCell ref="C6:E6"/>
    <mergeCell ref="C7:E7"/>
    <mergeCell ref="C8:E8"/>
  </mergeCells>
  <phoneticPr fontId="38" type="noConversion"/>
  <pageMargins left="0.69930555555555596" right="0.69930555555555596" top="0.75" bottom="0.75" header="0.3" footer="0.3"/>
  <pageSetup paperSize="9"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35"/>
  <sheetViews>
    <sheetView workbookViewId="0">
      <selection activeCell="L18" sqref="L18"/>
    </sheetView>
  </sheetViews>
  <sheetFormatPr defaultColWidth="9" defaultRowHeight="13.5"/>
  <cols>
    <col min="1" max="1" width="3.625" style="2" customWidth="1"/>
    <col min="2" max="2" width="18" style="2" customWidth="1"/>
    <col min="3" max="3" width="20" style="2" customWidth="1"/>
    <col min="4" max="4" width="18.625" style="2" customWidth="1"/>
    <col min="5" max="5" width="22.125" style="2" customWidth="1"/>
    <col min="6" max="6" width="9" style="2"/>
    <col min="7" max="15" width="2.625" style="2" customWidth="1"/>
    <col min="16" max="16384" width="9" style="2"/>
  </cols>
  <sheetData>
    <row r="1" spans="1:5">
      <c r="A1" s="3"/>
    </row>
    <row r="3" spans="1:5">
      <c r="B3" s="4" t="s">
        <v>28</v>
      </c>
      <c r="C3" s="116" t="s">
        <v>173</v>
      </c>
      <c r="D3" s="116"/>
      <c r="E3" s="116"/>
    </row>
    <row r="4" spans="1:5">
      <c r="B4" s="4" t="s">
        <v>30</v>
      </c>
      <c r="C4" s="116" t="s">
        <v>175</v>
      </c>
      <c r="D4" s="116"/>
      <c r="E4" s="116"/>
    </row>
    <row r="5" spans="1:5">
      <c r="B5" s="4" t="s">
        <v>32</v>
      </c>
      <c r="C5" s="5" t="s">
        <v>252</v>
      </c>
      <c r="D5" s="6"/>
      <c r="E5" s="7"/>
    </row>
    <row r="6" spans="1:5">
      <c r="B6" s="4" t="s">
        <v>127</v>
      </c>
      <c r="C6" s="126" t="s">
        <v>176</v>
      </c>
      <c r="D6" s="118"/>
      <c r="E6" s="119"/>
    </row>
    <row r="7" spans="1:5" ht="39.75" customHeight="1">
      <c r="B7" s="4" t="s">
        <v>34</v>
      </c>
      <c r="C7" s="120" t="s">
        <v>164</v>
      </c>
      <c r="D7" s="120"/>
      <c r="E7" s="120"/>
    </row>
    <row r="8" spans="1:5" ht="25.5" customHeight="1">
      <c r="B8" s="4" t="s">
        <v>36</v>
      </c>
      <c r="C8" s="120"/>
      <c r="D8" s="120"/>
      <c r="E8" s="120"/>
    </row>
    <row r="9" spans="1:5">
      <c r="B9" s="114" t="s">
        <v>37</v>
      </c>
      <c r="C9" s="114"/>
      <c r="D9" s="114"/>
      <c r="E9" s="114"/>
    </row>
    <row r="10" spans="1:5">
      <c r="B10" s="8" t="s">
        <v>38</v>
      </c>
      <c r="C10" s="8" t="s">
        <v>39</v>
      </c>
      <c r="D10" s="8" t="s">
        <v>40</v>
      </c>
      <c r="E10" s="8" t="s">
        <v>41</v>
      </c>
    </row>
    <row r="11" spans="1:5">
      <c r="B11" s="9" t="s">
        <v>254</v>
      </c>
      <c r="C11" s="10" t="s">
        <v>255</v>
      </c>
      <c r="D11" s="11" t="s">
        <v>43</v>
      </c>
      <c r="E11" s="11" t="s">
        <v>44</v>
      </c>
    </row>
    <row r="12" spans="1:5">
      <c r="B12" s="12" t="s">
        <v>277</v>
      </c>
      <c r="C12" s="12" t="s">
        <v>262</v>
      </c>
      <c r="D12" s="9" t="s">
        <v>280</v>
      </c>
      <c r="E12" s="9" t="s">
        <v>44</v>
      </c>
    </row>
    <row r="13" spans="1:5">
      <c r="B13" s="13"/>
      <c r="C13" s="22"/>
      <c r="D13" s="11"/>
      <c r="E13" s="11"/>
    </row>
    <row r="14" spans="1:5">
      <c r="B14" s="13"/>
      <c r="C14" s="13"/>
      <c r="D14" s="11"/>
      <c r="E14" s="11"/>
    </row>
    <row r="15" spans="1:5">
      <c r="B15" s="13"/>
      <c r="C15" s="13"/>
      <c r="D15" s="11"/>
      <c r="E15" s="11"/>
    </row>
    <row r="16" spans="1:5">
      <c r="B16" s="13"/>
      <c r="C16" s="13"/>
      <c r="D16" s="11"/>
      <c r="E16" s="11"/>
    </row>
    <row r="17" spans="2:5">
      <c r="B17" s="13"/>
      <c r="C17" s="13"/>
      <c r="D17" s="11"/>
      <c r="E17" s="11"/>
    </row>
    <row r="18" spans="2:5">
      <c r="B18" s="13"/>
      <c r="C18" s="13"/>
      <c r="D18" s="11"/>
      <c r="E18" s="11"/>
    </row>
    <row r="19" spans="2:5">
      <c r="B19" s="13"/>
      <c r="C19" s="13"/>
      <c r="D19" s="11"/>
      <c r="E19" s="11"/>
    </row>
    <row r="20" spans="2:5">
      <c r="B20" s="13"/>
      <c r="C20" s="13"/>
      <c r="D20" s="11"/>
      <c r="E20" s="11"/>
    </row>
    <row r="21" spans="2:5" ht="27.75" customHeight="1">
      <c r="B21" s="14" t="s">
        <v>57</v>
      </c>
      <c r="C21" s="115"/>
      <c r="D21" s="115"/>
      <c r="E21" s="115"/>
    </row>
    <row r="22" spans="2:5">
      <c r="B22" s="114" t="s">
        <v>59</v>
      </c>
      <c r="C22" s="114"/>
      <c r="D22" s="114"/>
      <c r="E22" s="114"/>
    </row>
    <row r="23" spans="2:5">
      <c r="B23" s="8" t="s">
        <v>38</v>
      </c>
      <c r="C23" s="8" t="s">
        <v>39</v>
      </c>
      <c r="D23" s="8" t="s">
        <v>40</v>
      </c>
      <c r="E23" s="8" t="s">
        <v>41</v>
      </c>
    </row>
    <row r="24" spans="2:5">
      <c r="B24" s="15" t="s">
        <v>60</v>
      </c>
      <c r="C24" s="16" t="str">
        <f>IFERROR(VLOOKUP(B24,[1]字段定义字典!B:I,8,FALSE),"")</f>
        <v>code</v>
      </c>
      <c r="D24" s="15" t="s">
        <v>43</v>
      </c>
      <c r="E24" s="15" t="s">
        <v>61</v>
      </c>
    </row>
    <row r="25" spans="2:5">
      <c r="B25" s="15" t="s">
        <v>62</v>
      </c>
      <c r="C25" s="16" t="str">
        <f>IFERROR(VLOOKUP(B25,[1]字段定义字典!B:I,8,FALSE),"")</f>
        <v>msg</v>
      </c>
      <c r="D25" s="15" t="s">
        <v>43</v>
      </c>
      <c r="E25" s="15" t="s">
        <v>63</v>
      </c>
    </row>
    <row r="26" spans="2:5">
      <c r="B26" s="15"/>
      <c r="C26" s="16"/>
      <c r="D26" s="15"/>
      <c r="E26" s="15"/>
    </row>
    <row r="27" spans="2:5">
      <c r="B27" s="17"/>
      <c r="C27" s="18"/>
      <c r="D27" s="15"/>
      <c r="E27" s="15"/>
    </row>
    <row r="28" spans="2:5">
      <c r="B28" s="19"/>
      <c r="C28" s="20"/>
      <c r="D28" s="15"/>
      <c r="E28" s="21"/>
    </row>
    <row r="29" spans="2:5">
      <c r="B29" s="21"/>
      <c r="C29" s="16"/>
      <c r="D29" s="21"/>
      <c r="E29" s="21"/>
    </row>
    <row r="30" spans="2:5" ht="21.75" customHeight="1">
      <c r="B30" s="14" t="s">
        <v>64</v>
      </c>
      <c r="C30" s="115" t="s">
        <v>65</v>
      </c>
      <c r="D30" s="115"/>
      <c r="E30" s="115"/>
    </row>
    <row r="39" ht="14.25" customHeight="1"/>
    <row r="40" ht="14.25" customHeight="1"/>
    <row r="41" ht="14.25" customHeight="1"/>
    <row r="42" s="1" customFormat="1" ht="14.25" customHeight="1"/>
    <row r="49" ht="14.25" customHeight="1"/>
    <row r="50" ht="14.25" customHeight="1"/>
    <row r="51" ht="14.25" customHeight="1"/>
    <row r="52" s="1" customFormat="1" ht="14.25" customHeight="1"/>
    <row r="66" spans="11:11">
      <c r="K66" s="1"/>
    </row>
    <row r="110" spans="4:4">
      <c r="D110" s="1"/>
    </row>
    <row r="116" spans="5:5">
      <c r="E116" s="1"/>
    </row>
    <row r="135" spans="4:4">
      <c r="D135" s="1"/>
    </row>
  </sheetData>
  <mergeCells count="9">
    <mergeCell ref="B9:E9"/>
    <mergeCell ref="C21:E21"/>
    <mergeCell ref="B22:E22"/>
    <mergeCell ref="C30:E30"/>
    <mergeCell ref="C3:E3"/>
    <mergeCell ref="C4:E4"/>
    <mergeCell ref="C6:E6"/>
    <mergeCell ref="C7:E7"/>
    <mergeCell ref="C8:E8"/>
  </mergeCells>
  <phoneticPr fontId="38" type="noConversion"/>
  <pageMargins left="0.69930555555555596" right="0.69930555555555596" top="0.75" bottom="0.75" header="0.3" footer="0.3"/>
  <pageSetup paperSize="9" orientation="portrait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35"/>
  <sheetViews>
    <sheetView workbookViewId="0">
      <selection activeCell="F17" sqref="F17"/>
    </sheetView>
  </sheetViews>
  <sheetFormatPr defaultColWidth="9" defaultRowHeight="13.5"/>
  <cols>
    <col min="1" max="1" width="3.625" style="2" customWidth="1"/>
    <col min="2" max="2" width="18" style="2" customWidth="1"/>
    <col min="3" max="3" width="20" style="2" customWidth="1"/>
    <col min="4" max="4" width="18.625" style="2" customWidth="1"/>
    <col min="5" max="5" width="22.125" style="2" customWidth="1"/>
    <col min="6" max="6" width="9" style="2"/>
    <col min="7" max="15" width="2.625" style="2" customWidth="1"/>
    <col min="16" max="16384" width="9" style="2"/>
  </cols>
  <sheetData>
    <row r="1" spans="1:5">
      <c r="A1" s="3"/>
    </row>
    <row r="3" spans="1:5">
      <c r="B3" s="4" t="s">
        <v>28</v>
      </c>
      <c r="C3" s="116" t="s">
        <v>177</v>
      </c>
      <c r="D3" s="116"/>
      <c r="E3" s="116"/>
    </row>
    <row r="4" spans="1:5">
      <c r="B4" s="4" t="s">
        <v>30</v>
      </c>
      <c r="C4" s="116" t="s">
        <v>179</v>
      </c>
      <c r="D4" s="116"/>
      <c r="E4" s="116"/>
    </row>
    <row r="5" spans="1:5">
      <c r="B5" s="4" t="s">
        <v>32</v>
      </c>
      <c r="C5" s="5" t="s">
        <v>252</v>
      </c>
      <c r="D5" s="6"/>
      <c r="E5" s="7"/>
    </row>
    <row r="6" spans="1:5">
      <c r="B6" s="4" t="s">
        <v>127</v>
      </c>
      <c r="C6" s="126" t="s">
        <v>180</v>
      </c>
      <c r="D6" s="118"/>
      <c r="E6" s="119"/>
    </row>
    <row r="7" spans="1:5" ht="39.75" customHeight="1">
      <c r="B7" s="4" t="s">
        <v>34</v>
      </c>
      <c r="C7" s="120" t="s">
        <v>164</v>
      </c>
      <c r="D7" s="120"/>
      <c r="E7" s="120"/>
    </row>
    <row r="8" spans="1:5" ht="25.5" customHeight="1">
      <c r="B8" s="4" t="s">
        <v>36</v>
      </c>
      <c r="C8" s="120"/>
      <c r="D8" s="120"/>
      <c r="E8" s="120"/>
    </row>
    <row r="9" spans="1:5">
      <c r="B9" s="114" t="s">
        <v>37</v>
      </c>
      <c r="C9" s="114"/>
      <c r="D9" s="114"/>
      <c r="E9" s="114"/>
    </row>
    <row r="10" spans="1:5">
      <c r="B10" s="8" t="s">
        <v>38</v>
      </c>
      <c r="C10" s="8" t="s">
        <v>39</v>
      </c>
      <c r="D10" s="8" t="s">
        <v>40</v>
      </c>
      <c r="E10" s="8" t="s">
        <v>41</v>
      </c>
    </row>
    <row r="11" spans="1:5">
      <c r="B11" s="9" t="s">
        <v>254</v>
      </c>
      <c r="C11" s="10" t="s">
        <v>255</v>
      </c>
      <c r="D11" s="11" t="s">
        <v>43</v>
      </c>
      <c r="E11" s="11" t="s">
        <v>44</v>
      </c>
    </row>
    <row r="12" spans="1:5">
      <c r="B12" s="12" t="s">
        <v>277</v>
      </c>
      <c r="C12" s="12" t="s">
        <v>262</v>
      </c>
      <c r="D12" s="9" t="s">
        <v>280</v>
      </c>
      <c r="E12" s="9" t="s">
        <v>44</v>
      </c>
    </row>
    <row r="13" spans="1:5">
      <c r="B13" s="12" t="s">
        <v>256</v>
      </c>
      <c r="C13" s="12" t="s">
        <v>257</v>
      </c>
      <c r="D13" s="9" t="s">
        <v>258</v>
      </c>
      <c r="E13" s="9" t="s">
        <v>44</v>
      </c>
    </row>
    <row r="14" spans="1:5">
      <c r="B14" s="12" t="s">
        <v>259</v>
      </c>
      <c r="C14" s="12" t="s">
        <v>260</v>
      </c>
      <c r="D14" s="9" t="s">
        <v>270</v>
      </c>
      <c r="E14" s="11"/>
    </row>
    <row r="15" spans="1:5">
      <c r="B15" s="12" t="s">
        <v>281</v>
      </c>
      <c r="C15" s="12" t="s">
        <v>282</v>
      </c>
      <c r="D15" s="9" t="s">
        <v>258</v>
      </c>
      <c r="E15" s="11"/>
    </row>
    <row r="16" spans="1:5" ht="31.5" customHeight="1">
      <c r="B16" s="12" t="s">
        <v>274</v>
      </c>
      <c r="C16" s="12" t="s">
        <v>279</v>
      </c>
      <c r="D16" s="9" t="s">
        <v>280</v>
      </c>
      <c r="E16" s="127" t="s">
        <v>266</v>
      </c>
    </row>
    <row r="17" spans="2:5">
      <c r="B17" s="13"/>
      <c r="C17" s="13"/>
      <c r="D17" s="11"/>
      <c r="E17" s="11"/>
    </row>
    <row r="18" spans="2:5">
      <c r="B18" s="13"/>
      <c r="C18" s="13"/>
      <c r="D18" s="11"/>
      <c r="E18" s="11"/>
    </row>
    <row r="19" spans="2:5">
      <c r="B19" s="13"/>
      <c r="C19" s="13"/>
      <c r="D19" s="11"/>
      <c r="E19" s="11"/>
    </row>
    <row r="20" spans="2:5">
      <c r="B20" s="13"/>
      <c r="C20" s="13"/>
      <c r="D20" s="11"/>
      <c r="E20" s="11"/>
    </row>
    <row r="21" spans="2:5" ht="27.75" customHeight="1">
      <c r="B21" s="14" t="s">
        <v>57</v>
      </c>
      <c r="C21" s="115"/>
      <c r="D21" s="115"/>
      <c r="E21" s="115"/>
    </row>
    <row r="22" spans="2:5">
      <c r="B22" s="114" t="s">
        <v>59</v>
      </c>
      <c r="C22" s="114"/>
      <c r="D22" s="114"/>
      <c r="E22" s="114"/>
    </row>
    <row r="23" spans="2:5">
      <c r="B23" s="8" t="s">
        <v>38</v>
      </c>
      <c r="C23" s="8" t="s">
        <v>39</v>
      </c>
      <c r="D23" s="8" t="s">
        <v>40</v>
      </c>
      <c r="E23" s="8" t="s">
        <v>41</v>
      </c>
    </row>
    <row r="24" spans="2:5">
      <c r="B24" s="15" t="s">
        <v>60</v>
      </c>
      <c r="C24" s="16" t="str">
        <f>IFERROR(VLOOKUP(B24,[1]字段定义字典!B:I,8,FALSE),"")</f>
        <v>code</v>
      </c>
      <c r="D24" s="15" t="s">
        <v>43</v>
      </c>
      <c r="E24" s="15" t="s">
        <v>61</v>
      </c>
    </row>
    <row r="25" spans="2:5">
      <c r="B25" s="15" t="s">
        <v>62</v>
      </c>
      <c r="C25" s="16" t="str">
        <f>IFERROR(VLOOKUP(B25,[1]字段定义字典!B:I,8,FALSE),"")</f>
        <v>msg</v>
      </c>
      <c r="D25" s="15" t="s">
        <v>43</v>
      </c>
      <c r="E25" s="15" t="s">
        <v>63</v>
      </c>
    </row>
    <row r="26" spans="2:5">
      <c r="B26" s="15"/>
      <c r="C26" s="16"/>
      <c r="D26" s="15"/>
      <c r="E26" s="15"/>
    </row>
    <row r="27" spans="2:5">
      <c r="B27" s="17"/>
      <c r="C27" s="18"/>
      <c r="D27" s="15"/>
      <c r="E27" s="15"/>
    </row>
    <row r="28" spans="2:5">
      <c r="B28" s="19"/>
      <c r="C28" s="20"/>
      <c r="D28" s="15"/>
      <c r="E28" s="21"/>
    </row>
    <row r="29" spans="2:5">
      <c r="B29" s="21"/>
      <c r="C29" s="16"/>
      <c r="D29" s="21"/>
      <c r="E29" s="21"/>
    </row>
    <row r="30" spans="2:5" ht="21.75" customHeight="1">
      <c r="B30" s="14" t="s">
        <v>64</v>
      </c>
      <c r="C30" s="115" t="s">
        <v>65</v>
      </c>
      <c r="D30" s="115"/>
      <c r="E30" s="115"/>
    </row>
    <row r="39" ht="14.25" customHeight="1"/>
    <row r="40" ht="14.25" customHeight="1"/>
    <row r="41" ht="14.25" customHeight="1"/>
    <row r="42" s="1" customFormat="1" ht="14.25" customHeight="1"/>
    <row r="49" ht="14.25" customHeight="1"/>
    <row r="50" ht="14.25" customHeight="1"/>
    <row r="51" ht="14.25" customHeight="1"/>
    <row r="52" s="1" customFormat="1" ht="14.25" customHeight="1"/>
    <row r="66" spans="11:11">
      <c r="K66" s="1"/>
    </row>
    <row r="110" spans="4:4">
      <c r="D110" s="1"/>
    </row>
    <row r="116" spans="5:5">
      <c r="E116" s="1"/>
    </row>
    <row r="135" spans="4:4">
      <c r="D135" s="1"/>
    </row>
  </sheetData>
  <mergeCells count="9">
    <mergeCell ref="B9:E9"/>
    <mergeCell ref="C21:E21"/>
    <mergeCell ref="B22:E22"/>
    <mergeCell ref="C30:E30"/>
    <mergeCell ref="C3:E3"/>
    <mergeCell ref="C4:E4"/>
    <mergeCell ref="C6:E6"/>
    <mergeCell ref="C7:E7"/>
    <mergeCell ref="C8:E8"/>
  </mergeCells>
  <phoneticPr fontId="38" type="noConversion"/>
  <pageMargins left="0.69930555555555596" right="0.69930555555555596" top="0.75" bottom="0.75" header="0.3" footer="0.3"/>
  <pageSetup paperSize="9" orientation="portrait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K135"/>
  <sheetViews>
    <sheetView workbookViewId="0">
      <selection activeCell="S12" sqref="S12"/>
    </sheetView>
  </sheetViews>
  <sheetFormatPr defaultColWidth="9" defaultRowHeight="13.5"/>
  <cols>
    <col min="1" max="1" width="3.625" style="2" customWidth="1"/>
    <col min="2" max="2" width="18" style="2" customWidth="1"/>
    <col min="3" max="3" width="20" style="2" customWidth="1"/>
    <col min="4" max="4" width="18.625" style="2" customWidth="1"/>
    <col min="5" max="5" width="22.125" style="2" customWidth="1"/>
    <col min="6" max="6" width="9" style="2"/>
    <col min="7" max="15" width="2.625" style="2" customWidth="1"/>
    <col min="16" max="16384" width="9" style="2"/>
  </cols>
  <sheetData>
    <row r="1" spans="1:5">
      <c r="A1" s="3"/>
    </row>
    <row r="3" spans="1:5">
      <c r="B3" s="4" t="s">
        <v>28</v>
      </c>
      <c r="C3" s="116" t="s">
        <v>182</v>
      </c>
      <c r="D3" s="116"/>
      <c r="E3" s="116"/>
    </row>
    <row r="4" spans="1:5">
      <c r="B4" s="4" t="s">
        <v>30</v>
      </c>
      <c r="C4" s="116" t="s">
        <v>184</v>
      </c>
      <c r="D4" s="116"/>
      <c r="E4" s="116"/>
    </row>
    <row r="5" spans="1:5">
      <c r="B5" s="4" t="s">
        <v>32</v>
      </c>
      <c r="C5" s="5" t="s">
        <v>252</v>
      </c>
      <c r="D5" s="6"/>
      <c r="E5" s="7"/>
    </row>
    <row r="6" spans="1:5">
      <c r="B6" s="4" t="s">
        <v>127</v>
      </c>
      <c r="C6" s="126" t="s">
        <v>185</v>
      </c>
      <c r="D6" s="118"/>
      <c r="E6" s="119"/>
    </row>
    <row r="7" spans="1:5" ht="39.75" customHeight="1">
      <c r="B7" s="4" t="s">
        <v>34</v>
      </c>
      <c r="C7" s="120" t="s">
        <v>186</v>
      </c>
      <c r="D7" s="120"/>
      <c r="E7" s="120"/>
    </row>
    <row r="8" spans="1:5" ht="25.5" customHeight="1">
      <c r="B8" s="4" t="s">
        <v>36</v>
      </c>
      <c r="C8" s="120"/>
      <c r="D8" s="120"/>
      <c r="E8" s="120"/>
    </row>
    <row r="9" spans="1:5">
      <c r="B9" s="114" t="s">
        <v>37</v>
      </c>
      <c r="C9" s="114"/>
      <c r="D9" s="114"/>
      <c r="E9" s="114"/>
    </row>
    <row r="10" spans="1:5">
      <c r="B10" s="8" t="s">
        <v>38</v>
      </c>
      <c r="C10" s="8" t="s">
        <v>39</v>
      </c>
      <c r="D10" s="8" t="s">
        <v>40</v>
      </c>
      <c r="E10" s="8" t="s">
        <v>41</v>
      </c>
    </row>
    <row r="11" spans="1:5">
      <c r="B11" s="9" t="s">
        <v>254</v>
      </c>
      <c r="C11" s="10" t="s">
        <v>255</v>
      </c>
      <c r="D11" s="11" t="s">
        <v>43</v>
      </c>
      <c r="E11" s="11" t="s">
        <v>44</v>
      </c>
    </row>
    <row r="12" spans="1:5">
      <c r="B12" s="13"/>
      <c r="C12" s="22"/>
      <c r="D12" s="11"/>
      <c r="E12" s="11"/>
    </row>
    <row r="13" spans="1:5">
      <c r="B13" s="13"/>
      <c r="C13" s="22"/>
      <c r="D13" s="11"/>
      <c r="E13" s="11"/>
    </row>
    <row r="14" spans="1:5">
      <c r="B14" s="13"/>
      <c r="C14" s="13"/>
      <c r="D14" s="11"/>
      <c r="E14" s="11"/>
    </row>
    <row r="15" spans="1:5">
      <c r="B15" s="13"/>
      <c r="C15" s="13"/>
      <c r="D15" s="11"/>
      <c r="E15" s="11"/>
    </row>
    <row r="16" spans="1:5">
      <c r="B16" s="13"/>
      <c r="C16" s="13"/>
      <c r="D16" s="11"/>
      <c r="E16" s="11"/>
    </row>
    <row r="17" spans="2:5">
      <c r="B17" s="13"/>
      <c r="C17" s="13"/>
      <c r="D17" s="11"/>
      <c r="E17" s="11"/>
    </row>
    <row r="18" spans="2:5">
      <c r="B18" s="13"/>
      <c r="C18" s="13"/>
      <c r="D18" s="11"/>
      <c r="E18" s="11"/>
    </row>
    <row r="19" spans="2:5">
      <c r="B19" s="13"/>
      <c r="C19" s="13"/>
      <c r="D19" s="11"/>
      <c r="E19" s="11"/>
    </row>
    <row r="20" spans="2:5">
      <c r="B20" s="13"/>
      <c r="C20" s="13"/>
      <c r="D20" s="11"/>
      <c r="E20" s="11"/>
    </row>
    <row r="21" spans="2:5" ht="27.75" customHeight="1">
      <c r="B21" s="14" t="s">
        <v>57</v>
      </c>
      <c r="C21" s="115"/>
      <c r="D21" s="115"/>
      <c r="E21" s="115"/>
    </row>
    <row r="22" spans="2:5">
      <c r="B22" s="114" t="s">
        <v>59</v>
      </c>
      <c r="C22" s="114"/>
      <c r="D22" s="114"/>
      <c r="E22" s="114"/>
    </row>
    <row r="23" spans="2:5">
      <c r="B23" s="8" t="s">
        <v>38</v>
      </c>
      <c r="C23" s="8" t="s">
        <v>39</v>
      </c>
      <c r="D23" s="8" t="s">
        <v>40</v>
      </c>
      <c r="E23" s="8" t="s">
        <v>41</v>
      </c>
    </row>
    <row r="24" spans="2:5">
      <c r="B24" s="15" t="s">
        <v>60</v>
      </c>
      <c r="C24" s="16" t="str">
        <f>IFERROR(VLOOKUP(B24,[1]字段定义字典!B:I,8,FALSE),"")</f>
        <v>code</v>
      </c>
      <c r="D24" s="15" t="s">
        <v>43</v>
      </c>
      <c r="E24" s="15" t="s">
        <v>61</v>
      </c>
    </row>
    <row r="25" spans="2:5">
      <c r="B25" s="15" t="s">
        <v>62</v>
      </c>
      <c r="C25" s="16" t="str">
        <f>IFERROR(VLOOKUP(B25,[1]字段定义字典!B:I,8,FALSE),"")</f>
        <v>msg</v>
      </c>
      <c r="D25" s="15" t="s">
        <v>43</v>
      </c>
      <c r="E25" s="15" t="s">
        <v>63</v>
      </c>
    </row>
    <row r="26" spans="2:5">
      <c r="B26" s="15"/>
      <c r="C26" s="16"/>
      <c r="D26" s="15"/>
      <c r="E26" s="15"/>
    </row>
    <row r="27" spans="2:5">
      <c r="B27" s="17"/>
      <c r="C27" s="18"/>
      <c r="D27" s="15"/>
      <c r="E27" s="15"/>
    </row>
    <row r="28" spans="2:5">
      <c r="B28" s="19"/>
      <c r="C28" s="20"/>
      <c r="D28" s="15"/>
      <c r="E28" s="21"/>
    </row>
    <row r="29" spans="2:5">
      <c r="B29" s="21"/>
      <c r="C29" s="16"/>
      <c r="D29" s="21"/>
      <c r="E29" s="21"/>
    </row>
    <row r="30" spans="2:5" ht="21.75" customHeight="1">
      <c r="B30" s="14" t="s">
        <v>64</v>
      </c>
      <c r="C30" s="115" t="s">
        <v>65</v>
      </c>
      <c r="D30" s="115"/>
      <c r="E30" s="115"/>
    </row>
    <row r="39" ht="14.25" customHeight="1"/>
    <row r="40" ht="14.25" customHeight="1"/>
    <row r="41" ht="14.25" customHeight="1"/>
    <row r="42" s="1" customFormat="1" ht="14.25" customHeight="1"/>
    <row r="49" ht="14.25" customHeight="1"/>
    <row r="50" ht="14.25" customHeight="1"/>
    <row r="51" ht="14.25" customHeight="1"/>
    <row r="52" s="1" customFormat="1" ht="14.25" customHeight="1"/>
    <row r="66" spans="11:11">
      <c r="K66" s="1"/>
    </row>
    <row r="110" spans="4:4">
      <c r="D110" s="1"/>
    </row>
    <row r="116" spans="5:5">
      <c r="E116" s="1"/>
    </row>
    <row r="135" spans="4:4">
      <c r="D135" s="1"/>
    </row>
  </sheetData>
  <mergeCells count="9">
    <mergeCell ref="B9:E9"/>
    <mergeCell ref="C21:E21"/>
    <mergeCell ref="B22:E22"/>
    <mergeCell ref="C30:E30"/>
    <mergeCell ref="C3:E3"/>
    <mergeCell ref="C4:E4"/>
    <mergeCell ref="C6:E6"/>
    <mergeCell ref="C7:E7"/>
    <mergeCell ref="C8:E8"/>
  </mergeCells>
  <phoneticPr fontId="38" type="noConversion"/>
  <pageMargins left="0.69930555555555596" right="0.69930555555555596" top="0.75" bottom="0.75" header="0.3" footer="0.3"/>
  <pageSetup paperSize="9" orientation="portrait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K135"/>
  <sheetViews>
    <sheetView workbookViewId="0">
      <selection activeCell="D23" sqref="D23"/>
    </sheetView>
  </sheetViews>
  <sheetFormatPr defaultColWidth="9" defaultRowHeight="13.5"/>
  <cols>
    <col min="1" max="1" width="3.625" style="2" customWidth="1"/>
    <col min="2" max="2" width="18" style="2" customWidth="1"/>
    <col min="3" max="3" width="20" style="2" customWidth="1"/>
    <col min="4" max="4" width="18.625" style="2" customWidth="1"/>
    <col min="5" max="5" width="22.125" style="2" customWidth="1"/>
    <col min="6" max="6" width="9" style="2"/>
    <col min="7" max="15" width="2.625" style="2" customWidth="1"/>
    <col min="16" max="16384" width="9" style="2"/>
  </cols>
  <sheetData>
    <row r="1" spans="1:5">
      <c r="A1" s="3"/>
    </row>
    <row r="3" spans="1:5">
      <c r="B3" s="4" t="s">
        <v>28</v>
      </c>
      <c r="C3" s="116" t="s">
        <v>188</v>
      </c>
      <c r="D3" s="116"/>
      <c r="E3" s="116"/>
    </row>
    <row r="4" spans="1:5">
      <c r="B4" s="4" t="s">
        <v>30</v>
      </c>
      <c r="C4" s="116" t="s">
        <v>190</v>
      </c>
      <c r="D4" s="116"/>
      <c r="E4" s="116"/>
    </row>
    <row r="5" spans="1:5">
      <c r="B5" s="4" t="s">
        <v>32</v>
      </c>
      <c r="C5" s="5" t="s">
        <v>252</v>
      </c>
      <c r="D5" s="6"/>
      <c r="E5" s="7"/>
    </row>
    <row r="6" spans="1:5">
      <c r="B6" s="4" t="s">
        <v>127</v>
      </c>
      <c r="C6" s="126" t="s">
        <v>191</v>
      </c>
      <c r="D6" s="118"/>
      <c r="E6" s="119"/>
    </row>
    <row r="7" spans="1:5" ht="39.75" customHeight="1">
      <c r="B7" s="4" t="s">
        <v>34</v>
      </c>
      <c r="C7" s="120" t="s">
        <v>192</v>
      </c>
      <c r="D7" s="120"/>
      <c r="E7" s="120"/>
    </row>
    <row r="8" spans="1:5" ht="25.5" customHeight="1">
      <c r="B8" s="4" t="s">
        <v>36</v>
      </c>
      <c r="C8" s="120"/>
      <c r="D8" s="120"/>
      <c r="E8" s="120"/>
    </row>
    <row r="9" spans="1:5">
      <c r="B9" s="114" t="s">
        <v>37</v>
      </c>
      <c r="C9" s="114"/>
      <c r="D9" s="114"/>
      <c r="E9" s="114"/>
    </row>
    <row r="10" spans="1:5">
      <c r="B10" s="8" t="s">
        <v>38</v>
      </c>
      <c r="C10" s="8" t="s">
        <v>39</v>
      </c>
      <c r="D10" s="8" t="s">
        <v>40</v>
      </c>
      <c r="E10" s="8" t="s">
        <v>41</v>
      </c>
    </row>
    <row r="11" spans="1:5">
      <c r="B11" s="9" t="s">
        <v>254</v>
      </c>
      <c r="C11" s="10" t="s">
        <v>255</v>
      </c>
      <c r="D11" s="11" t="s">
        <v>43</v>
      </c>
      <c r="E11" s="11" t="s">
        <v>44</v>
      </c>
    </row>
    <row r="12" spans="1:5">
      <c r="B12" s="12" t="s">
        <v>283</v>
      </c>
      <c r="C12" s="22"/>
      <c r="D12" s="9" t="s">
        <v>284</v>
      </c>
      <c r="E12" s="11"/>
    </row>
    <row r="13" spans="1:5">
      <c r="B13" s="12" t="s">
        <v>285</v>
      </c>
      <c r="C13" s="12" t="s">
        <v>286</v>
      </c>
      <c r="D13" s="9" t="s">
        <v>287</v>
      </c>
      <c r="E13" s="11"/>
    </row>
    <row r="14" spans="1:5">
      <c r="B14" s="12" t="s">
        <v>288</v>
      </c>
      <c r="C14" s="12" t="s">
        <v>289</v>
      </c>
      <c r="D14" s="9" t="s">
        <v>280</v>
      </c>
      <c r="E14" s="11"/>
    </row>
    <row r="15" spans="1:5">
      <c r="B15" s="12" t="s">
        <v>290</v>
      </c>
      <c r="C15" s="12" t="s">
        <v>291</v>
      </c>
      <c r="D15" s="9" t="s">
        <v>280</v>
      </c>
      <c r="E15" s="11"/>
    </row>
    <row r="16" spans="1:5">
      <c r="B16" s="12" t="s">
        <v>274</v>
      </c>
      <c r="C16" s="12" t="s">
        <v>264</v>
      </c>
      <c r="D16" s="9" t="s">
        <v>280</v>
      </c>
      <c r="E16" s="9" t="s">
        <v>266</v>
      </c>
    </row>
    <row r="17" spans="2:5">
      <c r="B17" s="13"/>
      <c r="C17" s="13"/>
      <c r="D17" s="11"/>
      <c r="E17" s="11"/>
    </row>
    <row r="18" spans="2:5">
      <c r="B18" s="13"/>
      <c r="C18" s="13"/>
      <c r="D18" s="11"/>
      <c r="E18" s="11"/>
    </row>
    <row r="19" spans="2:5">
      <c r="B19" s="13"/>
      <c r="C19" s="13"/>
      <c r="D19" s="11"/>
      <c r="E19" s="11"/>
    </row>
    <row r="20" spans="2:5">
      <c r="B20" s="13"/>
      <c r="C20" s="13"/>
      <c r="D20" s="11"/>
      <c r="E20" s="11"/>
    </row>
    <row r="21" spans="2:5" ht="27.75" customHeight="1">
      <c r="B21" s="14" t="s">
        <v>57</v>
      </c>
      <c r="C21" s="115"/>
      <c r="D21" s="115"/>
      <c r="E21" s="115"/>
    </row>
    <row r="22" spans="2:5">
      <c r="B22" s="114" t="s">
        <v>59</v>
      </c>
      <c r="C22" s="114"/>
      <c r="D22" s="114"/>
      <c r="E22" s="114"/>
    </row>
    <row r="23" spans="2:5">
      <c r="B23" s="8" t="s">
        <v>38</v>
      </c>
      <c r="C23" s="8" t="s">
        <v>39</v>
      </c>
      <c r="D23" s="8" t="s">
        <v>40</v>
      </c>
      <c r="E23" s="8" t="s">
        <v>41</v>
      </c>
    </row>
    <row r="24" spans="2:5">
      <c r="B24" s="15" t="s">
        <v>60</v>
      </c>
      <c r="C24" s="16" t="str">
        <f>IFERROR(VLOOKUP(B24,[1]字段定义字典!B:I,8,FALSE),"")</f>
        <v>code</v>
      </c>
      <c r="D24" s="15" t="s">
        <v>43</v>
      </c>
      <c r="E24" s="15" t="s">
        <v>61</v>
      </c>
    </row>
    <row r="25" spans="2:5">
      <c r="B25" s="15" t="s">
        <v>62</v>
      </c>
      <c r="C25" s="16" t="str">
        <f>IFERROR(VLOOKUP(B25,[1]字段定义字典!B:I,8,FALSE),"")</f>
        <v>msg</v>
      </c>
      <c r="D25" s="15" t="s">
        <v>43</v>
      </c>
      <c r="E25" s="15" t="s">
        <v>63</v>
      </c>
    </row>
    <row r="26" spans="2:5">
      <c r="B26" s="15"/>
      <c r="C26" s="16"/>
      <c r="D26" s="15"/>
      <c r="E26" s="15"/>
    </row>
    <row r="27" spans="2:5">
      <c r="B27" s="17"/>
      <c r="C27" s="18"/>
      <c r="D27" s="15"/>
      <c r="E27" s="15"/>
    </row>
    <row r="28" spans="2:5">
      <c r="B28" s="19"/>
      <c r="C28" s="20"/>
      <c r="D28" s="15"/>
      <c r="E28" s="21"/>
    </row>
    <row r="29" spans="2:5">
      <c r="B29" s="21"/>
      <c r="C29" s="16"/>
      <c r="D29" s="21"/>
      <c r="E29" s="21"/>
    </row>
    <row r="30" spans="2:5" ht="21.75" customHeight="1">
      <c r="B30" s="14" t="s">
        <v>64</v>
      </c>
      <c r="C30" s="115" t="s">
        <v>65</v>
      </c>
      <c r="D30" s="115"/>
      <c r="E30" s="115"/>
    </row>
    <row r="39" ht="14.25" customHeight="1"/>
    <row r="40" ht="14.25" customHeight="1"/>
    <row r="41" ht="14.25" customHeight="1"/>
    <row r="42" s="1" customFormat="1" ht="14.25" customHeight="1"/>
    <row r="49" ht="14.25" customHeight="1"/>
    <row r="50" ht="14.25" customHeight="1"/>
    <row r="51" ht="14.25" customHeight="1"/>
    <row r="52" s="1" customFormat="1" ht="14.25" customHeight="1"/>
    <row r="66" spans="11:11">
      <c r="K66" s="1"/>
    </row>
    <row r="110" spans="4:4">
      <c r="D110" s="1"/>
    </row>
    <row r="116" spans="5:5">
      <c r="E116" s="1"/>
    </row>
    <row r="135" spans="4:4">
      <c r="D135" s="1"/>
    </row>
  </sheetData>
  <mergeCells count="9">
    <mergeCell ref="B9:E9"/>
    <mergeCell ref="C21:E21"/>
    <mergeCell ref="B22:E22"/>
    <mergeCell ref="C30:E30"/>
    <mergeCell ref="C3:E3"/>
    <mergeCell ref="C4:E4"/>
    <mergeCell ref="C6:E6"/>
    <mergeCell ref="C7:E7"/>
    <mergeCell ref="C8:E8"/>
  </mergeCells>
  <phoneticPr fontId="38" type="noConversion"/>
  <pageMargins left="0.69930555555555596" right="0.69930555555555596" top="0.75" bottom="0.75" header="0.3" footer="0.3"/>
  <pageSetup paperSize="9" orientation="portrait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K135"/>
  <sheetViews>
    <sheetView workbookViewId="0">
      <selection activeCell="C14" sqref="C14"/>
    </sheetView>
  </sheetViews>
  <sheetFormatPr defaultColWidth="9" defaultRowHeight="13.5"/>
  <cols>
    <col min="1" max="1" width="3.625" style="2" customWidth="1"/>
    <col min="2" max="2" width="18" style="2" customWidth="1"/>
    <col min="3" max="3" width="20" style="2" customWidth="1"/>
    <col min="4" max="4" width="18.625" style="2" customWidth="1"/>
    <col min="5" max="5" width="22.125" style="2" customWidth="1"/>
    <col min="6" max="6" width="9" style="2"/>
    <col min="7" max="15" width="2.625" style="2" customWidth="1"/>
    <col min="16" max="16384" width="9" style="2"/>
  </cols>
  <sheetData>
    <row r="1" spans="1:8">
      <c r="A1" s="3"/>
    </row>
    <row r="3" spans="1:8">
      <c r="B3" s="4" t="s">
        <v>28</v>
      </c>
      <c r="C3" s="116" t="s">
        <v>193</v>
      </c>
      <c r="D3" s="116"/>
      <c r="E3" s="116"/>
    </row>
    <row r="4" spans="1:8">
      <c r="B4" s="4" t="s">
        <v>30</v>
      </c>
      <c r="C4" s="116" t="s">
        <v>195</v>
      </c>
      <c r="D4" s="116"/>
      <c r="E4" s="116"/>
    </row>
    <row r="5" spans="1:8">
      <c r="B5" s="4" t="s">
        <v>32</v>
      </c>
      <c r="C5" s="23"/>
      <c r="D5" s="6"/>
      <c r="E5" s="7"/>
    </row>
    <row r="6" spans="1:8">
      <c r="B6" s="4" t="s">
        <v>127</v>
      </c>
      <c r="C6" s="117" t="s">
        <v>253</v>
      </c>
      <c r="D6" s="118"/>
      <c r="E6" s="119"/>
    </row>
    <row r="7" spans="1:8" ht="39.75" customHeight="1">
      <c r="B7" s="4" t="s">
        <v>34</v>
      </c>
      <c r="C7" s="120" t="s">
        <v>197</v>
      </c>
      <c r="D7" s="120"/>
      <c r="E7" s="120"/>
    </row>
    <row r="8" spans="1:8" ht="25.5" customHeight="1">
      <c r="B8" s="4" t="s">
        <v>36</v>
      </c>
      <c r="C8" s="120"/>
      <c r="D8" s="120"/>
      <c r="E8" s="120"/>
    </row>
    <row r="9" spans="1:8">
      <c r="B9" s="114" t="s">
        <v>37</v>
      </c>
      <c r="C9" s="114"/>
      <c r="D9" s="114"/>
      <c r="E9" s="114"/>
    </row>
    <row r="10" spans="1:8">
      <c r="B10" s="8" t="s">
        <v>38</v>
      </c>
      <c r="C10" s="8" t="s">
        <v>39</v>
      </c>
      <c r="D10" s="8" t="s">
        <v>40</v>
      </c>
      <c r="E10" s="8" t="s">
        <v>41</v>
      </c>
    </row>
    <row r="11" spans="1:8">
      <c r="B11" s="9" t="s">
        <v>254</v>
      </c>
      <c r="C11" s="10" t="s">
        <v>255</v>
      </c>
      <c r="D11" s="11" t="s">
        <v>43</v>
      </c>
      <c r="E11" s="11" t="s">
        <v>44</v>
      </c>
    </row>
    <row r="12" spans="1:8">
      <c r="B12" s="12" t="s">
        <v>277</v>
      </c>
      <c r="C12" s="12" t="s">
        <v>292</v>
      </c>
      <c r="D12" s="9" t="s">
        <v>258</v>
      </c>
      <c r="E12" s="9" t="s">
        <v>44</v>
      </c>
    </row>
    <row r="13" spans="1:8">
      <c r="B13" s="12" t="s">
        <v>293</v>
      </c>
      <c r="C13" s="12" t="s">
        <v>294</v>
      </c>
      <c r="D13" s="9" t="s">
        <v>295</v>
      </c>
      <c r="E13" s="11"/>
    </row>
    <row r="14" spans="1:8">
      <c r="B14" s="12" t="s">
        <v>296</v>
      </c>
      <c r="C14" s="12" t="s">
        <v>297</v>
      </c>
      <c r="D14" s="9" t="s">
        <v>298</v>
      </c>
      <c r="E14" s="11"/>
      <c r="H14" s="24" t="s">
        <v>299</v>
      </c>
    </row>
    <row r="15" spans="1:8">
      <c r="B15" s="13"/>
      <c r="C15" s="12" t="s">
        <v>300</v>
      </c>
      <c r="D15" s="9" t="s">
        <v>270</v>
      </c>
      <c r="E15" s="11"/>
    </row>
    <row r="16" spans="1:8">
      <c r="B16" s="13"/>
      <c r="C16" s="12" t="s">
        <v>301</v>
      </c>
      <c r="D16" s="9" t="s">
        <v>270</v>
      </c>
      <c r="E16" s="11"/>
    </row>
    <row r="17" spans="2:5">
      <c r="B17" s="13"/>
      <c r="C17" s="13"/>
      <c r="D17" s="11"/>
      <c r="E17" s="11"/>
    </row>
    <row r="18" spans="2:5">
      <c r="B18" s="13"/>
      <c r="C18" s="13"/>
      <c r="D18" s="11"/>
      <c r="E18" s="11"/>
    </row>
    <row r="19" spans="2:5">
      <c r="B19" s="13"/>
      <c r="C19" s="13"/>
      <c r="D19" s="11"/>
      <c r="E19" s="11"/>
    </row>
    <row r="20" spans="2:5">
      <c r="B20" s="13"/>
      <c r="C20" s="13"/>
      <c r="D20" s="11"/>
      <c r="E20" s="11"/>
    </row>
    <row r="21" spans="2:5" ht="27.75" customHeight="1">
      <c r="B21" s="14" t="s">
        <v>57</v>
      </c>
      <c r="C21" s="115"/>
      <c r="D21" s="115"/>
      <c r="E21" s="115"/>
    </row>
    <row r="22" spans="2:5">
      <c r="B22" s="114" t="s">
        <v>59</v>
      </c>
      <c r="C22" s="114"/>
      <c r="D22" s="114"/>
      <c r="E22" s="114"/>
    </row>
    <row r="23" spans="2:5">
      <c r="B23" s="8" t="s">
        <v>38</v>
      </c>
      <c r="C23" s="8" t="s">
        <v>39</v>
      </c>
      <c r="D23" s="8" t="s">
        <v>40</v>
      </c>
      <c r="E23" s="8" t="s">
        <v>41</v>
      </c>
    </row>
    <row r="24" spans="2:5">
      <c r="B24" s="15" t="s">
        <v>60</v>
      </c>
      <c r="C24" s="16" t="str">
        <f>IFERROR(VLOOKUP(B24,[1]字段定义字典!B:I,8,FALSE),"")</f>
        <v>code</v>
      </c>
      <c r="D24" s="15" t="s">
        <v>43</v>
      </c>
      <c r="E24" s="15" t="s">
        <v>61</v>
      </c>
    </row>
    <row r="25" spans="2:5">
      <c r="B25" s="15" t="s">
        <v>62</v>
      </c>
      <c r="C25" s="16" t="str">
        <f>IFERROR(VLOOKUP(B25,[1]字段定义字典!B:I,8,FALSE),"")</f>
        <v>msg</v>
      </c>
      <c r="D25" s="15" t="s">
        <v>43</v>
      </c>
      <c r="E25" s="15" t="s">
        <v>63</v>
      </c>
    </row>
    <row r="26" spans="2:5">
      <c r="B26" s="15"/>
      <c r="C26" s="16"/>
      <c r="D26" s="15"/>
      <c r="E26" s="15"/>
    </row>
    <row r="27" spans="2:5">
      <c r="B27" s="17"/>
      <c r="C27" s="18"/>
      <c r="D27" s="15"/>
      <c r="E27" s="15"/>
    </row>
    <row r="28" spans="2:5">
      <c r="B28" s="19"/>
      <c r="C28" s="20"/>
      <c r="D28" s="15"/>
      <c r="E28" s="21"/>
    </row>
    <row r="29" spans="2:5">
      <c r="B29" s="21"/>
      <c r="C29" s="16"/>
      <c r="D29" s="21"/>
      <c r="E29" s="21"/>
    </row>
    <row r="30" spans="2:5" ht="21.75" customHeight="1">
      <c r="B30" s="14" t="s">
        <v>64</v>
      </c>
      <c r="C30" s="115" t="s">
        <v>65</v>
      </c>
      <c r="D30" s="115"/>
      <c r="E30" s="115"/>
    </row>
    <row r="39" ht="14.25" customHeight="1"/>
    <row r="40" ht="14.25" customHeight="1"/>
    <row r="41" ht="14.25" customHeight="1"/>
    <row r="42" s="1" customFormat="1" ht="14.25" customHeight="1"/>
    <row r="49" ht="14.25" customHeight="1"/>
    <row r="50" ht="14.25" customHeight="1"/>
    <row r="51" ht="14.25" customHeight="1"/>
    <row r="52" s="1" customFormat="1" ht="14.25" customHeight="1"/>
    <row r="66" spans="11:11">
      <c r="K66" s="1"/>
    </row>
    <row r="110" spans="4:4">
      <c r="D110" s="1"/>
    </row>
    <row r="116" spans="5:5">
      <c r="E116" s="1"/>
    </row>
    <row r="135" spans="4:4">
      <c r="D135" s="1"/>
    </row>
  </sheetData>
  <mergeCells count="9">
    <mergeCell ref="B9:E9"/>
    <mergeCell ref="C21:E21"/>
    <mergeCell ref="B22:E22"/>
    <mergeCell ref="C30:E30"/>
    <mergeCell ref="C3:E3"/>
    <mergeCell ref="C4:E4"/>
    <mergeCell ref="C6:E6"/>
    <mergeCell ref="C7:E7"/>
    <mergeCell ref="C8:E8"/>
  </mergeCells>
  <phoneticPr fontId="38" type="noConversion"/>
  <pageMargins left="0.69930555555555596" right="0.69930555555555596" top="0.75" bottom="0.75" header="0.3" footer="0.3"/>
  <pageSetup paperSize="9" orientation="portrait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K135"/>
  <sheetViews>
    <sheetView workbookViewId="0"/>
  </sheetViews>
  <sheetFormatPr defaultColWidth="9" defaultRowHeight="13.5"/>
  <cols>
    <col min="1" max="1" width="3.625" style="2" customWidth="1"/>
    <col min="2" max="2" width="18" style="2" customWidth="1"/>
    <col min="3" max="3" width="20" style="2" customWidth="1"/>
    <col min="4" max="4" width="18.625" style="2" customWidth="1"/>
    <col min="5" max="5" width="22.125" style="2" customWidth="1"/>
    <col min="6" max="6" width="9" style="2"/>
    <col min="7" max="15" width="2.625" style="2" customWidth="1"/>
    <col min="16" max="16384" width="9" style="2"/>
  </cols>
  <sheetData>
    <row r="1" spans="1:5">
      <c r="A1" s="3"/>
    </row>
    <row r="3" spans="1:5">
      <c r="B3" s="4" t="s">
        <v>28</v>
      </c>
      <c r="C3" s="116" t="s">
        <v>198</v>
      </c>
      <c r="D3" s="116"/>
      <c r="E3" s="116"/>
    </row>
    <row r="4" spans="1:5">
      <c r="B4" s="4" t="s">
        <v>30</v>
      </c>
      <c r="C4" s="116" t="s">
        <v>200</v>
      </c>
      <c r="D4" s="116"/>
      <c r="E4" s="116"/>
    </row>
    <row r="5" spans="1:5">
      <c r="B5" s="4" t="s">
        <v>32</v>
      </c>
      <c r="C5" s="5" t="s">
        <v>252</v>
      </c>
      <c r="D5" s="6"/>
      <c r="E5" s="7"/>
    </row>
    <row r="6" spans="1:5">
      <c r="B6" s="4" t="s">
        <v>127</v>
      </c>
      <c r="C6" s="126" t="s">
        <v>201</v>
      </c>
      <c r="D6" s="118"/>
      <c r="E6" s="119"/>
    </row>
    <row r="7" spans="1:5" ht="39.75" customHeight="1">
      <c r="B7" s="4" t="s">
        <v>34</v>
      </c>
      <c r="C7" s="120" t="s">
        <v>202</v>
      </c>
      <c r="D7" s="120"/>
      <c r="E7" s="120"/>
    </row>
    <row r="8" spans="1:5" ht="25.5" customHeight="1">
      <c r="B8" s="4" t="s">
        <v>36</v>
      </c>
      <c r="C8" s="120"/>
      <c r="D8" s="120"/>
      <c r="E8" s="120"/>
    </row>
    <row r="9" spans="1:5">
      <c r="B9" s="114" t="s">
        <v>37</v>
      </c>
      <c r="C9" s="114"/>
      <c r="D9" s="114"/>
      <c r="E9" s="114"/>
    </row>
    <row r="10" spans="1:5">
      <c r="B10" s="8" t="s">
        <v>38</v>
      </c>
      <c r="C10" s="8" t="s">
        <v>39</v>
      </c>
      <c r="D10" s="8" t="s">
        <v>40</v>
      </c>
      <c r="E10" s="8" t="s">
        <v>41</v>
      </c>
    </row>
    <row r="11" spans="1:5">
      <c r="B11" s="9" t="s">
        <v>254</v>
      </c>
      <c r="C11" s="10" t="s">
        <v>255</v>
      </c>
      <c r="D11" s="11" t="s">
        <v>43</v>
      </c>
      <c r="E11" s="11" t="s">
        <v>44</v>
      </c>
    </row>
    <row r="12" spans="1:5">
      <c r="B12" s="13"/>
      <c r="C12" s="22"/>
      <c r="D12" s="11"/>
      <c r="E12" s="11"/>
    </row>
    <row r="13" spans="1:5">
      <c r="B13" s="13"/>
      <c r="C13" s="22"/>
      <c r="D13" s="11"/>
      <c r="E13" s="11"/>
    </row>
    <row r="14" spans="1:5">
      <c r="B14" s="13"/>
      <c r="C14" s="13"/>
      <c r="D14" s="11"/>
      <c r="E14" s="11"/>
    </row>
    <row r="15" spans="1:5">
      <c r="B15" s="13"/>
      <c r="C15" s="13"/>
      <c r="D15" s="11"/>
      <c r="E15" s="11"/>
    </row>
    <row r="16" spans="1:5">
      <c r="B16" s="13"/>
      <c r="C16" s="13"/>
      <c r="D16" s="11"/>
      <c r="E16" s="11"/>
    </row>
    <row r="17" spans="2:5">
      <c r="B17" s="13"/>
      <c r="C17" s="13"/>
      <c r="D17" s="11"/>
      <c r="E17" s="11"/>
    </row>
    <row r="18" spans="2:5">
      <c r="B18" s="13"/>
      <c r="C18" s="13"/>
      <c r="D18" s="11"/>
      <c r="E18" s="11"/>
    </row>
    <row r="19" spans="2:5">
      <c r="B19" s="13"/>
      <c r="C19" s="13"/>
      <c r="D19" s="11"/>
      <c r="E19" s="11"/>
    </row>
    <row r="20" spans="2:5">
      <c r="B20" s="13"/>
      <c r="C20" s="13"/>
      <c r="D20" s="11"/>
      <c r="E20" s="11"/>
    </row>
    <row r="21" spans="2:5" ht="27.75" customHeight="1">
      <c r="B21" s="14" t="s">
        <v>57</v>
      </c>
      <c r="C21" s="115"/>
      <c r="D21" s="115"/>
      <c r="E21" s="115"/>
    </row>
    <row r="22" spans="2:5">
      <c r="B22" s="114" t="s">
        <v>59</v>
      </c>
      <c r="C22" s="114"/>
      <c r="D22" s="114"/>
      <c r="E22" s="114"/>
    </row>
    <row r="23" spans="2:5">
      <c r="B23" s="8" t="s">
        <v>38</v>
      </c>
      <c r="C23" s="8" t="s">
        <v>39</v>
      </c>
      <c r="D23" s="8" t="s">
        <v>40</v>
      </c>
      <c r="E23" s="8" t="s">
        <v>41</v>
      </c>
    </row>
    <row r="24" spans="2:5">
      <c r="B24" s="15" t="s">
        <v>60</v>
      </c>
      <c r="C24" s="16" t="str">
        <f>IFERROR(VLOOKUP(B24,[1]字段定义字典!B:I,8,FALSE),"")</f>
        <v>code</v>
      </c>
      <c r="D24" s="15" t="s">
        <v>43</v>
      </c>
      <c r="E24" s="15" t="s">
        <v>61</v>
      </c>
    </row>
    <row r="25" spans="2:5">
      <c r="B25" s="15" t="s">
        <v>62</v>
      </c>
      <c r="C25" s="16" t="str">
        <f>IFERROR(VLOOKUP(B25,[1]字段定义字典!B:I,8,FALSE),"")</f>
        <v>msg</v>
      </c>
      <c r="D25" s="15" t="s">
        <v>43</v>
      </c>
      <c r="E25" s="15" t="s">
        <v>63</v>
      </c>
    </row>
    <row r="26" spans="2:5">
      <c r="B26" s="15"/>
      <c r="C26" s="16"/>
      <c r="D26" s="15"/>
      <c r="E26" s="15"/>
    </row>
    <row r="27" spans="2:5">
      <c r="B27" s="17"/>
      <c r="C27" s="18"/>
      <c r="D27" s="15"/>
      <c r="E27" s="15"/>
    </row>
    <row r="28" spans="2:5">
      <c r="B28" s="19"/>
      <c r="C28" s="20"/>
      <c r="D28" s="15"/>
      <c r="E28" s="21"/>
    </row>
    <row r="29" spans="2:5">
      <c r="B29" s="21"/>
      <c r="C29" s="16"/>
      <c r="D29" s="21"/>
      <c r="E29" s="21"/>
    </row>
    <row r="30" spans="2:5" ht="21.75" customHeight="1">
      <c r="B30" s="14" t="s">
        <v>64</v>
      </c>
      <c r="C30" s="115" t="s">
        <v>65</v>
      </c>
      <c r="D30" s="115"/>
      <c r="E30" s="115"/>
    </row>
    <row r="39" ht="14.25" customHeight="1"/>
    <row r="40" ht="14.25" customHeight="1"/>
    <row r="41" ht="14.25" customHeight="1"/>
    <row r="42" s="1" customFormat="1" ht="14.25" customHeight="1"/>
    <row r="49" ht="14.25" customHeight="1"/>
    <row r="50" ht="14.25" customHeight="1"/>
    <row r="51" ht="14.25" customHeight="1"/>
    <row r="52" s="1" customFormat="1" ht="14.25" customHeight="1"/>
    <row r="66" spans="11:11">
      <c r="K66" s="1"/>
    </row>
    <row r="110" spans="4:4">
      <c r="D110" s="1"/>
    </row>
    <row r="116" spans="5:5">
      <c r="E116" s="1"/>
    </row>
    <row r="135" spans="4:4">
      <c r="D135" s="1"/>
    </row>
  </sheetData>
  <mergeCells count="9">
    <mergeCell ref="B9:E9"/>
    <mergeCell ref="C21:E21"/>
    <mergeCell ref="B22:E22"/>
    <mergeCell ref="C30:E30"/>
    <mergeCell ref="C3:E3"/>
    <mergeCell ref="C4:E4"/>
    <mergeCell ref="C6:E6"/>
    <mergeCell ref="C7:E7"/>
    <mergeCell ref="C8:E8"/>
  </mergeCells>
  <phoneticPr fontId="38" type="noConversion"/>
  <pageMargins left="0.69930555555555596" right="0.69930555555555596" top="0.75" bottom="0.75" header="0.3" footer="0.3"/>
  <pageSetup paperSize="9" orientation="portrait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K135"/>
  <sheetViews>
    <sheetView workbookViewId="0">
      <selection activeCell="R21" sqref="R21"/>
    </sheetView>
  </sheetViews>
  <sheetFormatPr defaultColWidth="9" defaultRowHeight="13.5"/>
  <cols>
    <col min="1" max="1" width="3.625" style="2" customWidth="1"/>
    <col min="2" max="2" width="18" style="2" customWidth="1"/>
    <col min="3" max="3" width="20" style="2" customWidth="1"/>
    <col min="4" max="4" width="18.625" style="2" customWidth="1"/>
    <col min="5" max="5" width="22.125" style="2" customWidth="1"/>
    <col min="6" max="6" width="9" style="2"/>
    <col min="7" max="15" width="2.625" style="2" customWidth="1"/>
    <col min="16" max="16384" width="9" style="2"/>
  </cols>
  <sheetData>
    <row r="1" spans="1:5">
      <c r="A1" s="3"/>
    </row>
    <row r="3" spans="1:5">
      <c r="B3" s="4" t="s">
        <v>28</v>
      </c>
      <c r="C3" s="116" t="s">
        <v>203</v>
      </c>
      <c r="D3" s="116"/>
      <c r="E3" s="116"/>
    </row>
    <row r="4" spans="1:5">
      <c r="B4" s="4" t="s">
        <v>30</v>
      </c>
      <c r="C4" s="116" t="s">
        <v>190</v>
      </c>
      <c r="D4" s="116"/>
      <c r="E4" s="116"/>
    </row>
    <row r="5" spans="1:5">
      <c r="B5" s="4" t="s">
        <v>32</v>
      </c>
      <c r="C5" s="5" t="s">
        <v>252</v>
      </c>
      <c r="D5" s="6"/>
      <c r="E5" s="7"/>
    </row>
    <row r="6" spans="1:5">
      <c r="B6" s="4" t="s">
        <v>127</v>
      </c>
      <c r="C6" s="126" t="s">
        <v>204</v>
      </c>
      <c r="D6" s="118"/>
      <c r="E6" s="119"/>
    </row>
    <row r="7" spans="1:5" ht="39.75" customHeight="1">
      <c r="B7" s="4" t="s">
        <v>34</v>
      </c>
      <c r="C7" s="125" t="s">
        <v>205</v>
      </c>
      <c r="D7" s="120"/>
      <c r="E7" s="120"/>
    </row>
    <row r="8" spans="1:5" ht="25.5" customHeight="1">
      <c r="B8" s="4" t="s">
        <v>36</v>
      </c>
      <c r="C8" s="120"/>
      <c r="D8" s="120"/>
      <c r="E8" s="120"/>
    </row>
    <row r="9" spans="1:5">
      <c r="B9" s="114" t="s">
        <v>37</v>
      </c>
      <c r="C9" s="114"/>
      <c r="D9" s="114"/>
      <c r="E9" s="114"/>
    </row>
    <row r="10" spans="1:5">
      <c r="B10" s="8" t="s">
        <v>38</v>
      </c>
      <c r="C10" s="8" t="s">
        <v>39</v>
      </c>
      <c r="D10" s="8" t="s">
        <v>40</v>
      </c>
      <c r="E10" s="8" t="s">
        <v>41</v>
      </c>
    </row>
    <row r="11" spans="1:5">
      <c r="B11" s="9" t="s">
        <v>254</v>
      </c>
      <c r="C11" s="10" t="s">
        <v>255</v>
      </c>
      <c r="D11" s="11" t="s">
        <v>43</v>
      </c>
      <c r="E11" s="11" t="s">
        <v>44</v>
      </c>
    </row>
    <row r="12" spans="1:5">
      <c r="B12" s="12" t="s">
        <v>302</v>
      </c>
      <c r="C12" s="12" t="s">
        <v>303</v>
      </c>
      <c r="D12" s="9" t="s">
        <v>265</v>
      </c>
      <c r="E12" s="11"/>
    </row>
    <row r="13" spans="1:5">
      <c r="B13" s="12" t="s">
        <v>304</v>
      </c>
      <c r="C13" s="12" t="s">
        <v>305</v>
      </c>
      <c r="D13" s="9" t="s">
        <v>265</v>
      </c>
      <c r="E13" s="11"/>
    </row>
    <row r="14" spans="1:5">
      <c r="B14" s="12" t="s">
        <v>306</v>
      </c>
      <c r="C14" s="12" t="s">
        <v>307</v>
      </c>
      <c r="D14" s="9" t="s">
        <v>265</v>
      </c>
      <c r="E14" s="11"/>
    </row>
    <row r="15" spans="1:5">
      <c r="B15" s="12" t="s">
        <v>308</v>
      </c>
      <c r="C15" s="12" t="s">
        <v>309</v>
      </c>
      <c r="D15" s="9" t="s">
        <v>265</v>
      </c>
      <c r="E15" s="11"/>
    </row>
    <row r="16" spans="1:5">
      <c r="B16" s="12" t="s">
        <v>310</v>
      </c>
      <c r="C16" s="13"/>
      <c r="D16" s="9" t="s">
        <v>43</v>
      </c>
      <c r="E16" s="11"/>
    </row>
    <row r="17" spans="2:5">
      <c r="B17" s="12" t="s">
        <v>274</v>
      </c>
      <c r="C17" s="12" t="s">
        <v>264</v>
      </c>
      <c r="D17" s="9" t="s">
        <v>280</v>
      </c>
      <c r="E17" s="9" t="s">
        <v>266</v>
      </c>
    </row>
    <row r="18" spans="2:5">
      <c r="B18" s="13"/>
      <c r="C18" s="13"/>
      <c r="D18" s="11"/>
      <c r="E18" s="11"/>
    </row>
    <row r="19" spans="2:5">
      <c r="B19" s="13"/>
      <c r="C19" s="13"/>
      <c r="D19" s="11"/>
      <c r="E19" s="11"/>
    </row>
    <row r="20" spans="2:5">
      <c r="B20" s="13"/>
      <c r="C20" s="13"/>
      <c r="D20" s="11"/>
      <c r="E20" s="11"/>
    </row>
    <row r="21" spans="2:5" ht="27.75" customHeight="1">
      <c r="B21" s="14" t="s">
        <v>57</v>
      </c>
      <c r="C21" s="115"/>
      <c r="D21" s="115"/>
      <c r="E21" s="115"/>
    </row>
    <row r="22" spans="2:5">
      <c r="B22" s="114" t="s">
        <v>59</v>
      </c>
      <c r="C22" s="114"/>
      <c r="D22" s="114"/>
      <c r="E22" s="114"/>
    </row>
    <row r="23" spans="2:5">
      <c r="B23" s="8" t="s">
        <v>38</v>
      </c>
      <c r="C23" s="8" t="s">
        <v>39</v>
      </c>
      <c r="D23" s="8" t="s">
        <v>40</v>
      </c>
      <c r="E23" s="8" t="s">
        <v>41</v>
      </c>
    </row>
    <row r="24" spans="2:5">
      <c r="B24" s="15" t="s">
        <v>60</v>
      </c>
      <c r="C24" s="16" t="str">
        <f>IFERROR(VLOOKUP(B24,[1]字段定义字典!B:I,8,FALSE),"")</f>
        <v>code</v>
      </c>
      <c r="D24" s="15" t="s">
        <v>43</v>
      </c>
      <c r="E24" s="15" t="s">
        <v>61</v>
      </c>
    </row>
    <row r="25" spans="2:5">
      <c r="B25" s="15" t="s">
        <v>62</v>
      </c>
      <c r="C25" s="16" t="str">
        <f>IFERROR(VLOOKUP(B25,[1]字段定义字典!B:I,8,FALSE),"")</f>
        <v>msg</v>
      </c>
      <c r="D25" s="15" t="s">
        <v>43</v>
      </c>
      <c r="E25" s="15" t="s">
        <v>63</v>
      </c>
    </row>
    <row r="26" spans="2:5">
      <c r="B26" s="15"/>
      <c r="C26" s="16"/>
      <c r="D26" s="15"/>
      <c r="E26" s="15"/>
    </row>
    <row r="27" spans="2:5">
      <c r="B27" s="17"/>
      <c r="C27" s="18"/>
      <c r="D27" s="15"/>
      <c r="E27" s="15"/>
    </row>
    <row r="28" spans="2:5">
      <c r="B28" s="19"/>
      <c r="C28" s="20"/>
      <c r="D28" s="15"/>
      <c r="E28" s="21"/>
    </row>
    <row r="29" spans="2:5">
      <c r="B29" s="21"/>
      <c r="C29" s="16"/>
      <c r="D29" s="21"/>
      <c r="E29" s="21"/>
    </row>
    <row r="30" spans="2:5" ht="21.75" customHeight="1">
      <c r="B30" s="14" t="s">
        <v>64</v>
      </c>
      <c r="C30" s="115" t="s">
        <v>65</v>
      </c>
      <c r="D30" s="115"/>
      <c r="E30" s="115"/>
    </row>
    <row r="39" ht="14.25" customHeight="1"/>
    <row r="40" ht="14.25" customHeight="1"/>
    <row r="41" ht="14.25" customHeight="1"/>
    <row r="42" s="1" customFormat="1" ht="14.25" customHeight="1"/>
    <row r="49" ht="14.25" customHeight="1"/>
    <row r="50" ht="14.25" customHeight="1"/>
    <row r="51" ht="14.25" customHeight="1"/>
    <row r="52" s="1" customFormat="1" ht="14.25" customHeight="1"/>
    <row r="66" spans="11:11">
      <c r="K66" s="1"/>
    </row>
    <row r="110" spans="4:4">
      <c r="D110" s="1"/>
    </row>
    <row r="116" spans="5:5">
      <c r="E116" s="1"/>
    </row>
    <row r="135" spans="4:4">
      <c r="D135" s="1"/>
    </row>
  </sheetData>
  <mergeCells count="9">
    <mergeCell ref="B9:E9"/>
    <mergeCell ref="C21:E21"/>
    <mergeCell ref="B22:E22"/>
    <mergeCell ref="C30:E30"/>
    <mergeCell ref="C3:E3"/>
    <mergeCell ref="C4:E4"/>
    <mergeCell ref="C6:E6"/>
    <mergeCell ref="C7:E7"/>
    <mergeCell ref="C8:E8"/>
  </mergeCells>
  <phoneticPr fontId="38" type="noConversion"/>
  <pageMargins left="0.69930555555555596" right="0.69930555555555596" top="0.75" bottom="0.75" header="0.3" footer="0.3"/>
  <pageSetup paperSize="9" orientation="portrait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K135"/>
  <sheetViews>
    <sheetView workbookViewId="0">
      <selection activeCell="D13" sqref="D13"/>
    </sheetView>
  </sheetViews>
  <sheetFormatPr defaultColWidth="9" defaultRowHeight="13.5"/>
  <cols>
    <col min="1" max="1" width="3.625" style="2" customWidth="1"/>
    <col min="2" max="2" width="18" style="2" customWidth="1"/>
    <col min="3" max="3" width="20" style="2" customWidth="1"/>
    <col min="4" max="4" width="18.625" style="2" customWidth="1"/>
    <col min="5" max="5" width="22.125" style="2" customWidth="1"/>
    <col min="6" max="6" width="9" style="2"/>
    <col min="7" max="15" width="2.625" style="2" customWidth="1"/>
    <col min="16" max="16384" width="9" style="2"/>
  </cols>
  <sheetData>
    <row r="1" spans="1:5">
      <c r="A1" s="3"/>
    </row>
    <row r="3" spans="1:5">
      <c r="B3" s="4" t="s">
        <v>28</v>
      </c>
      <c r="C3" s="116" t="s">
        <v>206</v>
      </c>
      <c r="D3" s="116"/>
      <c r="E3" s="116"/>
    </row>
    <row r="4" spans="1:5">
      <c r="B4" s="4" t="s">
        <v>30</v>
      </c>
      <c r="C4" s="116" t="s">
        <v>208</v>
      </c>
      <c r="D4" s="116"/>
      <c r="E4" s="116"/>
    </row>
    <row r="5" spans="1:5">
      <c r="B5" s="4" t="s">
        <v>32</v>
      </c>
      <c r="C5" s="5" t="s">
        <v>252</v>
      </c>
      <c r="D5" s="6"/>
      <c r="E5" s="7"/>
    </row>
    <row r="6" spans="1:5">
      <c r="B6" s="4" t="s">
        <v>127</v>
      </c>
      <c r="C6" s="126" t="s">
        <v>209</v>
      </c>
      <c r="D6" s="118"/>
      <c r="E6" s="119"/>
    </row>
    <row r="7" spans="1:5" ht="39.75" customHeight="1">
      <c r="B7" s="4" t="s">
        <v>34</v>
      </c>
      <c r="C7" s="120" t="s">
        <v>202</v>
      </c>
      <c r="D7" s="120"/>
      <c r="E7" s="120"/>
    </row>
    <row r="8" spans="1:5" ht="25.5" customHeight="1">
      <c r="B8" s="4" t="s">
        <v>36</v>
      </c>
      <c r="C8" s="120"/>
      <c r="D8" s="120"/>
      <c r="E8" s="120"/>
    </row>
    <row r="9" spans="1:5">
      <c r="B9" s="114" t="s">
        <v>37</v>
      </c>
      <c r="C9" s="114"/>
      <c r="D9" s="114"/>
      <c r="E9" s="114"/>
    </row>
    <row r="10" spans="1:5">
      <c r="B10" s="8" t="s">
        <v>38</v>
      </c>
      <c r="C10" s="8" t="s">
        <v>39</v>
      </c>
      <c r="D10" s="8" t="s">
        <v>40</v>
      </c>
      <c r="E10" s="8" t="s">
        <v>41</v>
      </c>
    </row>
    <row r="11" spans="1:5">
      <c r="B11" s="9" t="s">
        <v>254</v>
      </c>
      <c r="C11" s="10" t="s">
        <v>255</v>
      </c>
      <c r="D11" s="11" t="s">
        <v>43</v>
      </c>
      <c r="E11" s="11" t="s">
        <v>44</v>
      </c>
    </row>
    <row r="12" spans="1:5">
      <c r="B12" s="12" t="s">
        <v>311</v>
      </c>
      <c r="C12" s="12" t="s">
        <v>80</v>
      </c>
      <c r="D12" s="9" t="s">
        <v>270</v>
      </c>
      <c r="E12" s="11" t="s">
        <v>44</v>
      </c>
    </row>
    <row r="13" spans="1:5">
      <c r="B13" s="12" t="s">
        <v>274</v>
      </c>
      <c r="C13" s="12" t="s">
        <v>264</v>
      </c>
      <c r="D13" s="9" t="s">
        <v>265</v>
      </c>
      <c r="E13" s="9" t="s">
        <v>266</v>
      </c>
    </row>
    <row r="14" spans="1:5">
      <c r="B14" s="13"/>
      <c r="C14" s="13"/>
      <c r="D14" s="11"/>
      <c r="E14" s="11"/>
    </row>
    <row r="15" spans="1:5">
      <c r="B15" s="13"/>
      <c r="C15" s="13"/>
      <c r="D15" s="11"/>
      <c r="E15" s="11"/>
    </row>
    <row r="16" spans="1:5">
      <c r="B16" s="13"/>
      <c r="C16" s="13"/>
      <c r="D16" s="11"/>
      <c r="E16" s="11"/>
    </row>
    <row r="17" spans="2:5">
      <c r="B17" s="13"/>
      <c r="C17" s="13"/>
      <c r="D17" s="11"/>
      <c r="E17" s="11"/>
    </row>
    <row r="18" spans="2:5">
      <c r="B18" s="13"/>
      <c r="C18" s="13"/>
      <c r="D18" s="11"/>
      <c r="E18" s="11"/>
    </row>
    <row r="19" spans="2:5">
      <c r="B19" s="13"/>
      <c r="C19" s="13"/>
      <c r="D19" s="11"/>
      <c r="E19" s="11"/>
    </row>
    <row r="20" spans="2:5">
      <c r="B20" s="13"/>
      <c r="C20" s="13"/>
      <c r="D20" s="11"/>
      <c r="E20" s="11"/>
    </row>
    <row r="21" spans="2:5" ht="27.75" customHeight="1">
      <c r="B21" s="14" t="s">
        <v>57</v>
      </c>
      <c r="C21" s="115"/>
      <c r="D21" s="115"/>
      <c r="E21" s="115"/>
    </row>
    <row r="22" spans="2:5">
      <c r="B22" s="114" t="s">
        <v>59</v>
      </c>
      <c r="C22" s="114"/>
      <c r="D22" s="114"/>
      <c r="E22" s="114"/>
    </row>
    <row r="23" spans="2:5">
      <c r="B23" s="8" t="s">
        <v>38</v>
      </c>
      <c r="C23" s="8" t="s">
        <v>39</v>
      </c>
      <c r="D23" s="8" t="s">
        <v>40</v>
      </c>
      <c r="E23" s="8" t="s">
        <v>41</v>
      </c>
    </row>
    <row r="24" spans="2:5">
      <c r="B24" s="15" t="s">
        <v>60</v>
      </c>
      <c r="C24" s="16" t="str">
        <f>IFERROR(VLOOKUP(B24,[1]字段定义字典!B:I,8,FALSE),"")</f>
        <v>code</v>
      </c>
      <c r="D24" s="15" t="s">
        <v>43</v>
      </c>
      <c r="E24" s="15" t="s">
        <v>61</v>
      </c>
    </row>
    <row r="25" spans="2:5">
      <c r="B25" s="15" t="s">
        <v>62</v>
      </c>
      <c r="C25" s="16" t="str">
        <f>IFERROR(VLOOKUP(B25,[1]字段定义字典!B:I,8,FALSE),"")</f>
        <v>msg</v>
      </c>
      <c r="D25" s="15" t="s">
        <v>43</v>
      </c>
      <c r="E25" s="15" t="s">
        <v>63</v>
      </c>
    </row>
    <row r="26" spans="2:5">
      <c r="B26" s="15"/>
      <c r="C26" s="16"/>
      <c r="D26" s="15"/>
      <c r="E26" s="15"/>
    </row>
    <row r="27" spans="2:5">
      <c r="B27" s="17"/>
      <c r="C27" s="18"/>
      <c r="D27" s="15"/>
      <c r="E27" s="15"/>
    </row>
    <row r="28" spans="2:5">
      <c r="B28" s="19"/>
      <c r="C28" s="20"/>
      <c r="D28" s="15"/>
      <c r="E28" s="21"/>
    </row>
    <row r="29" spans="2:5">
      <c r="B29" s="21"/>
      <c r="C29" s="16"/>
      <c r="D29" s="21"/>
      <c r="E29" s="21"/>
    </row>
    <row r="30" spans="2:5" ht="21.75" customHeight="1">
      <c r="B30" s="14" t="s">
        <v>64</v>
      </c>
      <c r="C30" s="115" t="s">
        <v>65</v>
      </c>
      <c r="D30" s="115"/>
      <c r="E30" s="115"/>
    </row>
    <row r="39" ht="14.25" customHeight="1"/>
    <row r="40" ht="14.25" customHeight="1"/>
    <row r="41" ht="14.25" customHeight="1"/>
    <row r="42" s="1" customFormat="1" ht="14.25" customHeight="1"/>
    <row r="49" ht="14.25" customHeight="1"/>
    <row r="50" ht="14.25" customHeight="1"/>
    <row r="51" ht="14.25" customHeight="1"/>
    <row r="52" s="1" customFormat="1" ht="14.25" customHeight="1"/>
    <row r="66" spans="11:11">
      <c r="K66" s="1"/>
    </row>
    <row r="110" spans="4:4">
      <c r="D110" s="1"/>
    </row>
    <row r="116" spans="5:5">
      <c r="E116" s="1"/>
    </row>
    <row r="135" spans="4:4">
      <c r="D135" s="1"/>
    </row>
  </sheetData>
  <mergeCells count="9">
    <mergeCell ref="B9:E9"/>
    <mergeCell ref="C21:E21"/>
    <mergeCell ref="B22:E22"/>
    <mergeCell ref="C30:E30"/>
    <mergeCell ref="C3:E3"/>
    <mergeCell ref="C4:E4"/>
    <mergeCell ref="C6:E6"/>
    <mergeCell ref="C7:E7"/>
    <mergeCell ref="C8:E8"/>
  </mergeCells>
  <phoneticPr fontId="38" type="noConversion"/>
  <pageMargins left="0.69930555555555596" right="0.69930555555555596" top="0.75" bottom="0.75" header="0.3" footer="0.3"/>
  <pageSetup paperSize="9" orientation="portrait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K135"/>
  <sheetViews>
    <sheetView workbookViewId="0">
      <selection activeCell="G16" sqref="G16"/>
    </sheetView>
  </sheetViews>
  <sheetFormatPr defaultColWidth="9" defaultRowHeight="13.5"/>
  <cols>
    <col min="1" max="1" width="3.625" style="2" customWidth="1"/>
    <col min="2" max="2" width="18" style="2" customWidth="1"/>
    <col min="3" max="3" width="20" style="2" customWidth="1"/>
    <col min="4" max="4" width="18.625" style="2" customWidth="1"/>
    <col min="5" max="5" width="22.125" style="2" customWidth="1"/>
    <col min="6" max="6" width="9" style="2"/>
    <col min="7" max="15" width="2.625" style="2" customWidth="1"/>
    <col min="16" max="16384" width="9" style="2"/>
  </cols>
  <sheetData>
    <row r="1" spans="1:5">
      <c r="A1" s="3"/>
    </row>
    <row r="3" spans="1:5">
      <c r="B3" s="4" t="s">
        <v>28</v>
      </c>
      <c r="C3" s="116" t="s">
        <v>210</v>
      </c>
      <c r="D3" s="116"/>
      <c r="E3" s="116"/>
    </row>
    <row r="4" spans="1:5">
      <c r="B4" s="4" t="s">
        <v>30</v>
      </c>
      <c r="C4" s="116" t="s">
        <v>212</v>
      </c>
      <c r="D4" s="116"/>
      <c r="E4" s="116"/>
    </row>
    <row r="5" spans="1:5">
      <c r="B5" s="4" t="s">
        <v>32</v>
      </c>
      <c r="C5" s="5" t="s">
        <v>252</v>
      </c>
      <c r="D5" s="6"/>
      <c r="E5" s="7"/>
    </row>
    <row r="6" spans="1:5">
      <c r="B6" s="4" t="s">
        <v>127</v>
      </c>
      <c r="C6" s="126" t="s">
        <v>213</v>
      </c>
      <c r="D6" s="118"/>
      <c r="E6" s="119"/>
    </row>
    <row r="7" spans="1:5" ht="39.75" customHeight="1">
      <c r="B7" s="4" t="s">
        <v>34</v>
      </c>
      <c r="C7" s="120" t="s">
        <v>202</v>
      </c>
      <c r="D7" s="120"/>
      <c r="E7" s="120"/>
    </row>
    <row r="8" spans="1:5" ht="25.5" customHeight="1">
      <c r="B8" s="4" t="s">
        <v>36</v>
      </c>
      <c r="C8" s="120"/>
      <c r="D8" s="120"/>
      <c r="E8" s="120"/>
    </row>
    <row r="9" spans="1:5">
      <c r="B9" s="114" t="s">
        <v>37</v>
      </c>
      <c r="C9" s="114"/>
      <c r="D9" s="114"/>
      <c r="E9" s="114"/>
    </row>
    <row r="10" spans="1:5">
      <c r="B10" s="8" t="s">
        <v>38</v>
      </c>
      <c r="C10" s="8" t="s">
        <v>39</v>
      </c>
      <c r="D10" s="8" t="s">
        <v>40</v>
      </c>
      <c r="E10" s="8" t="s">
        <v>41</v>
      </c>
    </row>
    <row r="11" spans="1:5">
      <c r="B11" s="9" t="s">
        <v>254</v>
      </c>
      <c r="C11" s="10" t="s">
        <v>255</v>
      </c>
      <c r="D11" s="11" t="s">
        <v>43</v>
      </c>
      <c r="E11" s="11" t="s">
        <v>44</v>
      </c>
    </row>
    <row r="12" spans="1:5">
      <c r="B12" s="12" t="s">
        <v>311</v>
      </c>
      <c r="C12" s="12" t="s">
        <v>262</v>
      </c>
      <c r="D12" s="9" t="s">
        <v>270</v>
      </c>
      <c r="E12" s="9" t="s">
        <v>44</v>
      </c>
    </row>
    <row r="13" spans="1:5">
      <c r="B13" s="13"/>
      <c r="C13" s="22"/>
      <c r="D13" s="11"/>
      <c r="E13" s="11"/>
    </row>
    <row r="14" spans="1:5">
      <c r="B14" s="13"/>
      <c r="C14" s="13"/>
      <c r="D14" s="11"/>
      <c r="E14" s="11"/>
    </row>
    <row r="15" spans="1:5">
      <c r="B15" s="13"/>
      <c r="C15" s="13"/>
      <c r="D15" s="11"/>
      <c r="E15" s="11"/>
    </row>
    <row r="16" spans="1:5">
      <c r="B16" s="13"/>
      <c r="C16" s="13"/>
      <c r="D16" s="11"/>
      <c r="E16" s="11"/>
    </row>
    <row r="17" spans="2:5">
      <c r="B17" s="13"/>
      <c r="C17" s="13"/>
      <c r="D17" s="11"/>
      <c r="E17" s="11"/>
    </row>
    <row r="18" spans="2:5">
      <c r="B18" s="13"/>
      <c r="C18" s="13"/>
      <c r="D18" s="11"/>
      <c r="E18" s="11"/>
    </row>
    <row r="19" spans="2:5">
      <c r="B19" s="13"/>
      <c r="C19" s="13"/>
      <c r="D19" s="11"/>
      <c r="E19" s="11"/>
    </row>
    <row r="20" spans="2:5">
      <c r="B20" s="13"/>
      <c r="C20" s="13"/>
      <c r="D20" s="11"/>
      <c r="E20" s="11"/>
    </row>
    <row r="21" spans="2:5" ht="27.75" customHeight="1">
      <c r="B21" s="14" t="s">
        <v>57</v>
      </c>
      <c r="C21" s="115"/>
      <c r="D21" s="115"/>
      <c r="E21" s="115"/>
    </row>
    <row r="22" spans="2:5">
      <c r="B22" s="114" t="s">
        <v>59</v>
      </c>
      <c r="C22" s="114"/>
      <c r="D22" s="114"/>
      <c r="E22" s="114"/>
    </row>
    <row r="23" spans="2:5">
      <c r="B23" s="8" t="s">
        <v>38</v>
      </c>
      <c r="C23" s="8" t="s">
        <v>39</v>
      </c>
      <c r="D23" s="8" t="s">
        <v>40</v>
      </c>
      <c r="E23" s="8" t="s">
        <v>41</v>
      </c>
    </row>
    <row r="24" spans="2:5">
      <c r="B24" s="15" t="s">
        <v>60</v>
      </c>
      <c r="C24" s="16" t="str">
        <f>IFERROR(VLOOKUP(B24,[1]字段定义字典!B:I,8,FALSE),"")</f>
        <v>code</v>
      </c>
      <c r="D24" s="15" t="s">
        <v>43</v>
      </c>
      <c r="E24" s="15" t="s">
        <v>61</v>
      </c>
    </row>
    <row r="25" spans="2:5">
      <c r="B25" s="15" t="s">
        <v>62</v>
      </c>
      <c r="C25" s="16" t="str">
        <f>IFERROR(VLOOKUP(B25,[1]字段定义字典!B:I,8,FALSE),"")</f>
        <v>msg</v>
      </c>
      <c r="D25" s="15" t="s">
        <v>43</v>
      </c>
      <c r="E25" s="15" t="s">
        <v>63</v>
      </c>
    </row>
    <row r="26" spans="2:5">
      <c r="B26" s="15"/>
      <c r="C26" s="16"/>
      <c r="D26" s="15"/>
      <c r="E26" s="15"/>
    </row>
    <row r="27" spans="2:5">
      <c r="B27" s="17"/>
      <c r="C27" s="18"/>
      <c r="D27" s="15"/>
      <c r="E27" s="15"/>
    </row>
    <row r="28" spans="2:5">
      <c r="B28" s="19"/>
      <c r="C28" s="20"/>
      <c r="D28" s="15"/>
      <c r="E28" s="21"/>
    </row>
    <row r="29" spans="2:5">
      <c r="B29" s="21"/>
      <c r="C29" s="16"/>
      <c r="D29" s="21"/>
      <c r="E29" s="21"/>
    </row>
    <row r="30" spans="2:5" ht="21.75" customHeight="1">
      <c r="B30" s="14" t="s">
        <v>64</v>
      </c>
      <c r="C30" s="115" t="s">
        <v>65</v>
      </c>
      <c r="D30" s="115"/>
      <c r="E30" s="115"/>
    </row>
    <row r="39" ht="14.25" customHeight="1"/>
    <row r="40" ht="14.25" customHeight="1"/>
    <row r="41" ht="14.25" customHeight="1"/>
    <row r="42" s="1" customFormat="1" ht="14.25" customHeight="1"/>
    <row r="49" ht="14.25" customHeight="1"/>
    <row r="50" ht="14.25" customHeight="1"/>
    <row r="51" ht="14.25" customHeight="1"/>
    <row r="52" s="1" customFormat="1" ht="14.25" customHeight="1"/>
    <row r="66" spans="11:11">
      <c r="K66" s="1"/>
    </row>
    <row r="110" spans="4:4">
      <c r="D110" s="1"/>
    </row>
    <row r="116" spans="5:5">
      <c r="E116" s="1"/>
    </row>
    <row r="135" spans="4:4">
      <c r="D135" s="1"/>
    </row>
  </sheetData>
  <mergeCells count="9">
    <mergeCell ref="B9:E9"/>
    <mergeCell ref="C21:E21"/>
    <mergeCell ref="B22:E22"/>
    <mergeCell ref="C30:E30"/>
    <mergeCell ref="C3:E3"/>
    <mergeCell ref="C4:E4"/>
    <mergeCell ref="C6:E6"/>
    <mergeCell ref="C7:E7"/>
    <mergeCell ref="C8:E8"/>
  </mergeCells>
  <phoneticPr fontId="38" type="noConversion"/>
  <pageMargins left="0.69930555555555596" right="0.69930555555555596" top="0.75" bottom="0.75" header="0.3" footer="0.3"/>
  <pageSetup paperSize="9" orientation="portrait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K135"/>
  <sheetViews>
    <sheetView workbookViewId="0">
      <selection activeCell="M17" sqref="M17"/>
    </sheetView>
  </sheetViews>
  <sheetFormatPr defaultColWidth="9" defaultRowHeight="13.5"/>
  <cols>
    <col min="1" max="1" width="3.625" style="2" customWidth="1"/>
    <col min="2" max="2" width="18" style="2" customWidth="1"/>
    <col min="3" max="3" width="20" style="2" customWidth="1"/>
    <col min="4" max="4" width="18.625" style="2" customWidth="1"/>
    <col min="5" max="5" width="22.125" style="2" customWidth="1"/>
    <col min="6" max="6" width="9" style="2"/>
    <col min="7" max="15" width="2.625" style="2" customWidth="1"/>
    <col min="16" max="16384" width="9" style="2"/>
  </cols>
  <sheetData>
    <row r="1" spans="1:5">
      <c r="A1" s="3"/>
    </row>
    <row r="3" spans="1:5">
      <c r="B3" s="4" t="s">
        <v>28</v>
      </c>
      <c r="C3" s="116" t="s">
        <v>214</v>
      </c>
      <c r="D3" s="116"/>
      <c r="E3" s="116"/>
    </row>
    <row r="4" spans="1:5">
      <c r="B4" s="4" t="s">
        <v>30</v>
      </c>
      <c r="C4" s="116" t="s">
        <v>216</v>
      </c>
      <c r="D4" s="116"/>
      <c r="E4" s="116"/>
    </row>
    <row r="5" spans="1:5">
      <c r="B5" s="4" t="s">
        <v>32</v>
      </c>
      <c r="C5" s="5" t="s">
        <v>252</v>
      </c>
      <c r="D5" s="6"/>
      <c r="E5" s="7"/>
    </row>
    <row r="6" spans="1:5">
      <c r="B6" s="4" t="s">
        <v>127</v>
      </c>
      <c r="C6" s="126" t="s">
        <v>217</v>
      </c>
      <c r="D6" s="118"/>
      <c r="E6" s="119"/>
    </row>
    <row r="7" spans="1:5" ht="39.75" customHeight="1">
      <c r="B7" s="4" t="s">
        <v>34</v>
      </c>
      <c r="C7" s="120" t="s">
        <v>202</v>
      </c>
      <c r="D7" s="120"/>
      <c r="E7" s="120"/>
    </row>
    <row r="8" spans="1:5" ht="25.5" customHeight="1">
      <c r="B8" s="4" t="s">
        <v>36</v>
      </c>
      <c r="C8" s="120"/>
      <c r="D8" s="120"/>
      <c r="E8" s="120"/>
    </row>
    <row r="9" spans="1:5">
      <c r="B9" s="114" t="s">
        <v>37</v>
      </c>
      <c r="C9" s="114"/>
      <c r="D9" s="114"/>
      <c r="E9" s="114"/>
    </row>
    <row r="10" spans="1:5">
      <c r="B10" s="8" t="s">
        <v>38</v>
      </c>
      <c r="C10" s="8" t="s">
        <v>39</v>
      </c>
      <c r="D10" s="8" t="s">
        <v>40</v>
      </c>
      <c r="E10" s="8" t="s">
        <v>41</v>
      </c>
    </row>
    <row r="11" spans="1:5">
      <c r="B11" s="9" t="s">
        <v>254</v>
      </c>
      <c r="C11" s="10" t="s">
        <v>255</v>
      </c>
      <c r="D11" s="11" t="s">
        <v>43</v>
      </c>
      <c r="E11" s="11" t="s">
        <v>44</v>
      </c>
    </row>
    <row r="12" spans="1:5">
      <c r="B12" s="12" t="s">
        <v>311</v>
      </c>
      <c r="C12" s="12" t="s">
        <v>278</v>
      </c>
      <c r="D12" s="9" t="s">
        <v>258</v>
      </c>
      <c r="E12" s="11"/>
    </row>
    <row r="13" spans="1:5">
      <c r="B13" s="12" t="s">
        <v>302</v>
      </c>
      <c r="C13" s="12" t="s">
        <v>303</v>
      </c>
      <c r="D13" s="9" t="s">
        <v>265</v>
      </c>
      <c r="E13" s="11"/>
    </row>
    <row r="14" spans="1:5">
      <c r="B14" s="12" t="s">
        <v>304</v>
      </c>
      <c r="C14" s="12" t="s">
        <v>305</v>
      </c>
      <c r="D14" s="9" t="s">
        <v>265</v>
      </c>
      <c r="E14" s="11"/>
    </row>
    <row r="15" spans="1:5">
      <c r="B15" s="12" t="s">
        <v>306</v>
      </c>
      <c r="C15" s="12" t="s">
        <v>307</v>
      </c>
      <c r="D15" s="9" t="s">
        <v>265</v>
      </c>
      <c r="E15" s="11"/>
    </row>
    <row r="16" spans="1:5">
      <c r="B16" s="12" t="s">
        <v>308</v>
      </c>
      <c r="C16" s="12" t="s">
        <v>309</v>
      </c>
      <c r="D16" s="9" t="s">
        <v>265</v>
      </c>
      <c r="E16" s="11"/>
    </row>
    <row r="17" spans="2:5">
      <c r="B17" s="12" t="s">
        <v>310</v>
      </c>
      <c r="C17" s="13"/>
      <c r="D17" s="9" t="s">
        <v>43</v>
      </c>
      <c r="E17" s="11"/>
    </row>
    <row r="18" spans="2:5">
      <c r="B18" s="12" t="s">
        <v>274</v>
      </c>
      <c r="C18" s="12" t="s">
        <v>264</v>
      </c>
      <c r="D18" s="9" t="s">
        <v>280</v>
      </c>
      <c r="E18" s="9" t="s">
        <v>266</v>
      </c>
    </row>
    <row r="19" spans="2:5">
      <c r="B19" s="13"/>
      <c r="C19" s="13"/>
      <c r="D19" s="11"/>
      <c r="E19" s="11"/>
    </row>
    <row r="20" spans="2:5">
      <c r="B20" s="13"/>
      <c r="C20" s="13"/>
      <c r="D20" s="11"/>
      <c r="E20" s="11"/>
    </row>
    <row r="21" spans="2:5" ht="27.75" customHeight="1">
      <c r="B21" s="14" t="s">
        <v>57</v>
      </c>
      <c r="C21" s="115"/>
      <c r="D21" s="115"/>
      <c r="E21" s="115"/>
    </row>
    <row r="22" spans="2:5">
      <c r="B22" s="114" t="s">
        <v>59</v>
      </c>
      <c r="C22" s="114"/>
      <c r="D22" s="114"/>
      <c r="E22" s="114"/>
    </row>
    <row r="23" spans="2:5">
      <c r="B23" s="8" t="s">
        <v>38</v>
      </c>
      <c r="C23" s="8" t="s">
        <v>39</v>
      </c>
      <c r="D23" s="8" t="s">
        <v>40</v>
      </c>
      <c r="E23" s="8" t="s">
        <v>41</v>
      </c>
    </row>
    <row r="24" spans="2:5">
      <c r="B24" s="15" t="s">
        <v>60</v>
      </c>
      <c r="C24" s="16" t="str">
        <f>IFERROR(VLOOKUP(B24,[1]字段定义字典!B:I,8,FALSE),"")</f>
        <v>code</v>
      </c>
      <c r="D24" s="15" t="s">
        <v>43</v>
      </c>
      <c r="E24" s="15" t="s">
        <v>61</v>
      </c>
    </row>
    <row r="25" spans="2:5">
      <c r="B25" s="15" t="s">
        <v>62</v>
      </c>
      <c r="C25" s="16" t="str">
        <f>IFERROR(VLOOKUP(B25,[1]字段定义字典!B:I,8,FALSE),"")</f>
        <v>msg</v>
      </c>
      <c r="D25" s="15" t="s">
        <v>43</v>
      </c>
      <c r="E25" s="15" t="s">
        <v>63</v>
      </c>
    </row>
    <row r="26" spans="2:5">
      <c r="B26" s="15"/>
      <c r="C26" s="16"/>
      <c r="D26" s="15"/>
      <c r="E26" s="15"/>
    </row>
    <row r="27" spans="2:5">
      <c r="B27" s="17"/>
      <c r="C27" s="18"/>
      <c r="D27" s="15"/>
      <c r="E27" s="15"/>
    </row>
    <row r="28" spans="2:5">
      <c r="B28" s="19"/>
      <c r="C28" s="20"/>
      <c r="D28" s="15"/>
      <c r="E28" s="21"/>
    </row>
    <row r="29" spans="2:5">
      <c r="B29" s="21"/>
      <c r="C29" s="16"/>
      <c r="D29" s="21"/>
      <c r="E29" s="21"/>
    </row>
    <row r="30" spans="2:5" ht="21.75" customHeight="1">
      <c r="B30" s="14" t="s">
        <v>64</v>
      </c>
      <c r="C30" s="115" t="s">
        <v>65</v>
      </c>
      <c r="D30" s="115"/>
      <c r="E30" s="115"/>
    </row>
    <row r="39" ht="14.25" customHeight="1"/>
    <row r="40" ht="14.25" customHeight="1"/>
    <row r="41" ht="14.25" customHeight="1"/>
    <row r="42" s="1" customFormat="1" ht="14.25" customHeight="1"/>
    <row r="49" ht="14.25" customHeight="1"/>
    <row r="50" ht="14.25" customHeight="1"/>
    <row r="51" ht="14.25" customHeight="1"/>
    <row r="52" s="1" customFormat="1" ht="14.25" customHeight="1"/>
    <row r="66" spans="11:11">
      <c r="K66" s="1"/>
    </row>
    <row r="110" spans="4:4">
      <c r="D110" s="1"/>
    </row>
    <row r="116" spans="5:5">
      <c r="E116" s="1"/>
    </row>
    <row r="135" spans="4:4">
      <c r="D135" s="1"/>
    </row>
  </sheetData>
  <mergeCells count="9">
    <mergeCell ref="B9:E9"/>
    <mergeCell ref="C21:E21"/>
    <mergeCell ref="B22:E22"/>
    <mergeCell ref="C30:E30"/>
    <mergeCell ref="C3:E3"/>
    <mergeCell ref="C4:E4"/>
    <mergeCell ref="C6:E6"/>
    <mergeCell ref="C7:E7"/>
    <mergeCell ref="C8:E8"/>
  </mergeCells>
  <phoneticPr fontId="38" type="noConversion"/>
  <pageMargins left="0.69930555555555596" right="0.69930555555555596" top="0.75" bottom="0.75" header="0.3" footer="0.3"/>
  <pageSetup paperSize="9" orientation="portrait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K135"/>
  <sheetViews>
    <sheetView workbookViewId="0">
      <selection activeCell="D19" sqref="D19"/>
    </sheetView>
  </sheetViews>
  <sheetFormatPr defaultColWidth="9" defaultRowHeight="13.5"/>
  <cols>
    <col min="1" max="1" width="3.625" style="2" customWidth="1"/>
    <col min="2" max="2" width="18" style="2" customWidth="1"/>
    <col min="3" max="3" width="20" style="2" customWidth="1"/>
    <col min="4" max="4" width="18.625" style="2" customWidth="1"/>
    <col min="5" max="5" width="22.125" style="2" customWidth="1"/>
    <col min="6" max="6" width="9" style="2"/>
    <col min="7" max="15" width="2.625" style="2" customWidth="1"/>
    <col min="16" max="16384" width="9" style="2"/>
  </cols>
  <sheetData>
    <row r="1" spans="1:5">
      <c r="A1" s="3"/>
    </row>
    <row r="3" spans="1:5">
      <c r="B3" s="4" t="s">
        <v>28</v>
      </c>
      <c r="C3" s="116" t="s">
        <v>218</v>
      </c>
      <c r="D3" s="116"/>
      <c r="E3" s="116"/>
    </row>
    <row r="4" spans="1:5">
      <c r="B4" s="4" t="s">
        <v>30</v>
      </c>
      <c r="C4" s="116" t="s">
        <v>220</v>
      </c>
      <c r="D4" s="116"/>
      <c r="E4" s="116"/>
    </row>
    <row r="5" spans="1:5">
      <c r="B5" s="4" t="s">
        <v>32</v>
      </c>
      <c r="C5" s="5" t="s">
        <v>252</v>
      </c>
      <c r="D5" s="6"/>
      <c r="E5" s="7"/>
    </row>
    <row r="6" spans="1:5">
      <c r="B6" s="4" t="s">
        <v>127</v>
      </c>
      <c r="C6" s="126" t="s">
        <v>221</v>
      </c>
      <c r="D6" s="118"/>
      <c r="E6" s="119"/>
    </row>
    <row r="7" spans="1:5" ht="39.75" customHeight="1">
      <c r="B7" s="4" t="s">
        <v>34</v>
      </c>
      <c r="C7" s="120" t="s">
        <v>222</v>
      </c>
      <c r="D7" s="120"/>
      <c r="E7" s="120"/>
    </row>
    <row r="8" spans="1:5" ht="25.5" customHeight="1">
      <c r="B8" s="4" t="s">
        <v>36</v>
      </c>
      <c r="C8" s="120"/>
      <c r="D8" s="120"/>
      <c r="E8" s="120"/>
    </row>
    <row r="9" spans="1:5">
      <c r="B9" s="114" t="s">
        <v>37</v>
      </c>
      <c r="C9" s="114"/>
      <c r="D9" s="114"/>
      <c r="E9" s="114"/>
    </row>
    <row r="10" spans="1:5">
      <c r="B10" s="8" t="s">
        <v>38</v>
      </c>
      <c r="C10" s="8" t="s">
        <v>39</v>
      </c>
      <c r="D10" s="8" t="s">
        <v>40</v>
      </c>
      <c r="E10" s="8" t="s">
        <v>41</v>
      </c>
    </row>
    <row r="11" spans="1:5">
      <c r="B11" s="9" t="s">
        <v>254</v>
      </c>
      <c r="C11" s="10" t="s">
        <v>255</v>
      </c>
      <c r="D11" s="11" t="s">
        <v>43</v>
      </c>
      <c r="E11" s="11" t="s">
        <v>44</v>
      </c>
    </row>
    <row r="12" spans="1:5">
      <c r="B12" s="13"/>
      <c r="C12" s="22"/>
      <c r="D12" s="11"/>
      <c r="E12" s="11"/>
    </row>
    <row r="13" spans="1:5">
      <c r="B13" s="13"/>
      <c r="C13" s="22"/>
      <c r="D13" s="11"/>
      <c r="E13" s="11"/>
    </row>
    <row r="14" spans="1:5">
      <c r="B14" s="13"/>
      <c r="C14" s="13"/>
      <c r="D14" s="11"/>
      <c r="E14" s="11"/>
    </row>
    <row r="15" spans="1:5">
      <c r="B15" s="13"/>
      <c r="C15" s="13"/>
      <c r="D15" s="11"/>
      <c r="E15" s="11"/>
    </row>
    <row r="16" spans="1:5">
      <c r="B16" s="13"/>
      <c r="C16" s="13"/>
      <c r="D16" s="11"/>
      <c r="E16" s="11"/>
    </row>
    <row r="17" spans="2:5">
      <c r="B17" s="13"/>
      <c r="C17" s="13"/>
      <c r="D17" s="11"/>
      <c r="E17" s="11"/>
    </row>
    <row r="18" spans="2:5">
      <c r="B18" s="13"/>
      <c r="C18" s="13"/>
      <c r="D18" s="11"/>
      <c r="E18" s="11"/>
    </row>
    <row r="19" spans="2:5">
      <c r="B19" s="13"/>
      <c r="C19" s="13"/>
      <c r="D19" s="11"/>
      <c r="E19" s="11"/>
    </row>
    <row r="20" spans="2:5">
      <c r="B20" s="13"/>
      <c r="C20" s="13"/>
      <c r="D20" s="11"/>
      <c r="E20" s="11"/>
    </row>
    <row r="21" spans="2:5" ht="27.75" customHeight="1">
      <c r="B21" s="14" t="s">
        <v>57</v>
      </c>
      <c r="C21" s="115"/>
      <c r="D21" s="115"/>
      <c r="E21" s="115"/>
    </row>
    <row r="22" spans="2:5">
      <c r="B22" s="114" t="s">
        <v>59</v>
      </c>
      <c r="C22" s="114"/>
      <c r="D22" s="114"/>
      <c r="E22" s="114"/>
    </row>
    <row r="23" spans="2:5">
      <c r="B23" s="8" t="s">
        <v>38</v>
      </c>
      <c r="C23" s="8" t="s">
        <v>39</v>
      </c>
      <c r="D23" s="8" t="s">
        <v>40</v>
      </c>
      <c r="E23" s="8" t="s">
        <v>41</v>
      </c>
    </row>
    <row r="24" spans="2:5">
      <c r="B24" s="15" t="s">
        <v>60</v>
      </c>
      <c r="C24" s="16" t="str">
        <f>IFERROR(VLOOKUP(B24,[1]字段定义字典!B:I,8,FALSE),"")</f>
        <v>code</v>
      </c>
      <c r="D24" s="15" t="s">
        <v>43</v>
      </c>
      <c r="E24" s="15" t="s">
        <v>61</v>
      </c>
    </row>
    <row r="25" spans="2:5">
      <c r="B25" s="15" t="s">
        <v>62</v>
      </c>
      <c r="C25" s="16" t="str">
        <f>IFERROR(VLOOKUP(B25,[1]字段定义字典!B:I,8,FALSE),"")</f>
        <v>msg</v>
      </c>
      <c r="D25" s="15" t="s">
        <v>43</v>
      </c>
      <c r="E25" s="15" t="s">
        <v>63</v>
      </c>
    </row>
    <row r="26" spans="2:5">
      <c r="B26" s="15"/>
      <c r="C26" s="16"/>
      <c r="D26" s="15"/>
      <c r="E26" s="15"/>
    </row>
    <row r="27" spans="2:5">
      <c r="B27" s="17"/>
      <c r="C27" s="18"/>
      <c r="D27" s="15"/>
      <c r="E27" s="15"/>
    </row>
    <row r="28" spans="2:5">
      <c r="B28" s="19"/>
      <c r="C28" s="20"/>
      <c r="D28" s="15"/>
      <c r="E28" s="21"/>
    </row>
    <row r="29" spans="2:5">
      <c r="B29" s="21"/>
      <c r="C29" s="16"/>
      <c r="D29" s="21"/>
      <c r="E29" s="21"/>
    </row>
    <row r="30" spans="2:5" ht="21.75" customHeight="1">
      <c r="B30" s="14" t="s">
        <v>64</v>
      </c>
      <c r="C30" s="115" t="s">
        <v>65</v>
      </c>
      <c r="D30" s="115"/>
      <c r="E30" s="115"/>
    </row>
    <row r="39" ht="14.25" customHeight="1"/>
    <row r="40" ht="14.25" customHeight="1"/>
    <row r="41" ht="14.25" customHeight="1"/>
    <row r="42" s="1" customFormat="1" ht="14.25" customHeight="1"/>
    <row r="49" ht="14.25" customHeight="1"/>
    <row r="50" ht="14.25" customHeight="1"/>
    <row r="51" ht="14.25" customHeight="1"/>
    <row r="52" s="1" customFormat="1" ht="14.25" customHeight="1"/>
    <row r="66" spans="11:11">
      <c r="K66" s="1"/>
    </row>
    <row r="110" spans="4:4">
      <c r="D110" s="1"/>
    </row>
    <row r="116" spans="5:5">
      <c r="E116" s="1"/>
    </row>
    <row r="135" spans="4:4">
      <c r="D135" s="1"/>
    </row>
  </sheetData>
  <mergeCells count="9">
    <mergeCell ref="B9:E9"/>
    <mergeCell ref="C21:E21"/>
    <mergeCell ref="B22:E22"/>
    <mergeCell ref="C30:E30"/>
    <mergeCell ref="C3:E3"/>
    <mergeCell ref="C4:E4"/>
    <mergeCell ref="C6:E6"/>
    <mergeCell ref="C7:E7"/>
    <mergeCell ref="C8:E8"/>
  </mergeCells>
  <phoneticPr fontId="38" type="noConversion"/>
  <pageMargins left="0.69930555555555596" right="0.69930555555555596" top="0.75" bottom="0.75" header="0.3" footer="0.3"/>
  <pageSetup paperSize="9" orientation="portrait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K135"/>
  <sheetViews>
    <sheetView workbookViewId="0">
      <selection activeCell="B12" sqref="B12:F13"/>
    </sheetView>
  </sheetViews>
  <sheetFormatPr defaultColWidth="9" defaultRowHeight="13.5"/>
  <cols>
    <col min="1" max="1" width="3.625" style="2" customWidth="1"/>
    <col min="2" max="2" width="18" style="2" customWidth="1"/>
    <col min="3" max="3" width="20" style="2" customWidth="1"/>
    <col min="4" max="4" width="18.625" style="2" customWidth="1"/>
    <col min="5" max="5" width="22.125" style="2" customWidth="1"/>
    <col min="6" max="6" width="9" style="2"/>
    <col min="7" max="15" width="2.625" style="2" customWidth="1"/>
    <col min="16" max="16384" width="9" style="2"/>
  </cols>
  <sheetData>
    <row r="1" spans="1:5">
      <c r="A1" s="3"/>
    </row>
    <row r="3" spans="1:5">
      <c r="B3" s="4" t="s">
        <v>28</v>
      </c>
      <c r="C3" s="116" t="s">
        <v>223</v>
      </c>
      <c r="D3" s="116"/>
      <c r="E3" s="116"/>
    </row>
    <row r="4" spans="1:5">
      <c r="B4" s="4" t="s">
        <v>30</v>
      </c>
      <c r="C4" s="116" t="s">
        <v>225</v>
      </c>
      <c r="D4" s="116"/>
      <c r="E4" s="116"/>
    </row>
    <row r="5" spans="1:5">
      <c r="B5" s="4" t="s">
        <v>32</v>
      </c>
      <c r="C5" s="5" t="s">
        <v>252</v>
      </c>
      <c r="D5" s="6"/>
      <c r="E5" s="7"/>
    </row>
    <row r="6" spans="1:5">
      <c r="B6" s="4" t="s">
        <v>127</v>
      </c>
      <c r="C6" s="126" t="s">
        <v>226</v>
      </c>
      <c r="D6" s="118"/>
      <c r="E6" s="119"/>
    </row>
    <row r="7" spans="1:5" ht="39.75" customHeight="1">
      <c r="B7" s="4" t="s">
        <v>34</v>
      </c>
      <c r="C7" s="120" t="s">
        <v>222</v>
      </c>
      <c r="D7" s="120"/>
      <c r="E7" s="120"/>
    </row>
    <row r="8" spans="1:5" ht="25.5" customHeight="1">
      <c r="B8" s="4" t="s">
        <v>36</v>
      </c>
      <c r="C8" s="120"/>
      <c r="D8" s="120"/>
      <c r="E8" s="120"/>
    </row>
    <row r="9" spans="1:5">
      <c r="B9" s="114" t="s">
        <v>37</v>
      </c>
      <c r="C9" s="114"/>
      <c r="D9" s="114"/>
      <c r="E9" s="114"/>
    </row>
    <row r="10" spans="1:5">
      <c r="B10" s="8" t="s">
        <v>38</v>
      </c>
      <c r="C10" s="8" t="s">
        <v>39</v>
      </c>
      <c r="D10" s="8" t="s">
        <v>40</v>
      </c>
      <c r="E10" s="8" t="s">
        <v>41</v>
      </c>
    </row>
    <row r="11" spans="1:5">
      <c r="B11" s="9" t="s">
        <v>254</v>
      </c>
      <c r="C11" s="10" t="s">
        <v>255</v>
      </c>
      <c r="D11" s="11" t="s">
        <v>43</v>
      </c>
      <c r="E11" s="11" t="s">
        <v>44</v>
      </c>
    </row>
    <row r="12" spans="1:5">
      <c r="B12" s="12" t="s">
        <v>312</v>
      </c>
      <c r="C12" s="12" t="s">
        <v>313</v>
      </c>
      <c r="D12" s="9" t="s">
        <v>43</v>
      </c>
      <c r="E12" s="9" t="s">
        <v>44</v>
      </c>
    </row>
    <row r="13" spans="1:5">
      <c r="B13" s="12" t="s">
        <v>274</v>
      </c>
      <c r="C13" s="12" t="s">
        <v>264</v>
      </c>
      <c r="D13" s="9" t="s">
        <v>280</v>
      </c>
      <c r="E13" s="9" t="s">
        <v>266</v>
      </c>
    </row>
    <row r="14" spans="1:5">
      <c r="B14" s="13"/>
      <c r="C14" s="13"/>
      <c r="D14" s="11"/>
      <c r="E14" s="11"/>
    </row>
    <row r="15" spans="1:5">
      <c r="B15" s="13"/>
      <c r="C15" s="13"/>
      <c r="D15" s="11"/>
      <c r="E15" s="11"/>
    </row>
    <row r="16" spans="1:5">
      <c r="B16" s="13"/>
      <c r="C16" s="13"/>
      <c r="D16" s="11"/>
      <c r="E16" s="11"/>
    </row>
    <row r="17" spans="2:5">
      <c r="B17" s="13"/>
      <c r="C17" s="13"/>
      <c r="D17" s="11"/>
      <c r="E17" s="11"/>
    </row>
    <row r="18" spans="2:5">
      <c r="B18" s="13"/>
      <c r="C18" s="13"/>
      <c r="D18" s="11"/>
      <c r="E18" s="11"/>
    </row>
    <row r="19" spans="2:5">
      <c r="B19" s="13"/>
      <c r="C19" s="13"/>
      <c r="D19" s="11"/>
      <c r="E19" s="11"/>
    </row>
    <row r="20" spans="2:5">
      <c r="B20" s="13"/>
      <c r="C20" s="13"/>
      <c r="D20" s="11"/>
      <c r="E20" s="11"/>
    </row>
    <row r="21" spans="2:5" ht="27.75" customHeight="1">
      <c r="B21" s="14" t="s">
        <v>57</v>
      </c>
      <c r="C21" s="115"/>
      <c r="D21" s="115"/>
      <c r="E21" s="115"/>
    </row>
    <row r="22" spans="2:5">
      <c r="B22" s="114" t="s">
        <v>59</v>
      </c>
      <c r="C22" s="114"/>
      <c r="D22" s="114"/>
      <c r="E22" s="114"/>
    </row>
    <row r="23" spans="2:5">
      <c r="B23" s="8" t="s">
        <v>38</v>
      </c>
      <c r="C23" s="8" t="s">
        <v>39</v>
      </c>
      <c r="D23" s="8" t="s">
        <v>40</v>
      </c>
      <c r="E23" s="8" t="s">
        <v>41</v>
      </c>
    </row>
    <row r="24" spans="2:5">
      <c r="B24" s="15" t="s">
        <v>60</v>
      </c>
      <c r="C24" s="16" t="str">
        <f>IFERROR(VLOOKUP(B24,[1]字段定义字典!B:I,8,FALSE),"")</f>
        <v>code</v>
      </c>
      <c r="D24" s="15" t="s">
        <v>43</v>
      </c>
      <c r="E24" s="15" t="s">
        <v>61</v>
      </c>
    </row>
    <row r="25" spans="2:5">
      <c r="B25" s="15" t="s">
        <v>62</v>
      </c>
      <c r="C25" s="16" t="str">
        <f>IFERROR(VLOOKUP(B25,[1]字段定义字典!B:I,8,FALSE),"")</f>
        <v>msg</v>
      </c>
      <c r="D25" s="15" t="s">
        <v>43</v>
      </c>
      <c r="E25" s="15" t="s">
        <v>63</v>
      </c>
    </row>
    <row r="26" spans="2:5">
      <c r="B26" s="15"/>
      <c r="C26" s="16"/>
      <c r="D26" s="15"/>
      <c r="E26" s="15"/>
    </row>
    <row r="27" spans="2:5">
      <c r="B27" s="17"/>
      <c r="C27" s="18"/>
      <c r="D27" s="15"/>
      <c r="E27" s="15"/>
    </row>
    <row r="28" spans="2:5">
      <c r="B28" s="19"/>
      <c r="C28" s="20"/>
      <c r="D28" s="15"/>
      <c r="E28" s="21"/>
    </row>
    <row r="29" spans="2:5">
      <c r="B29" s="21"/>
      <c r="C29" s="16"/>
      <c r="D29" s="21"/>
      <c r="E29" s="21"/>
    </row>
    <row r="30" spans="2:5" ht="21.75" customHeight="1">
      <c r="B30" s="14" t="s">
        <v>64</v>
      </c>
      <c r="C30" s="115" t="s">
        <v>65</v>
      </c>
      <c r="D30" s="115"/>
      <c r="E30" s="115"/>
    </row>
    <row r="39" ht="14.25" customHeight="1"/>
    <row r="40" ht="14.25" customHeight="1"/>
    <row r="41" ht="14.25" customHeight="1"/>
    <row r="42" s="1" customFormat="1" ht="14.25" customHeight="1"/>
    <row r="49" ht="14.25" customHeight="1"/>
    <row r="50" ht="14.25" customHeight="1"/>
    <row r="51" ht="14.25" customHeight="1"/>
    <row r="52" s="1" customFormat="1" ht="14.25" customHeight="1"/>
    <row r="66" spans="11:11">
      <c r="K66" s="1"/>
    </row>
    <row r="110" spans="4:4">
      <c r="D110" s="1"/>
    </row>
    <row r="116" spans="5:5">
      <c r="E116" s="1"/>
    </row>
    <row r="135" spans="4:4">
      <c r="D135" s="1"/>
    </row>
  </sheetData>
  <mergeCells count="9">
    <mergeCell ref="B9:E9"/>
    <mergeCell ref="C21:E21"/>
    <mergeCell ref="B22:E22"/>
    <mergeCell ref="C30:E30"/>
    <mergeCell ref="C3:E3"/>
    <mergeCell ref="C4:E4"/>
    <mergeCell ref="C6:E6"/>
    <mergeCell ref="C7:E7"/>
    <mergeCell ref="C8:E8"/>
  </mergeCells>
  <phoneticPr fontId="38" type="noConversion"/>
  <pageMargins left="0.69930555555555596" right="0.69930555555555596" top="0.75" bottom="0.75" header="0.3" footer="0.3"/>
  <pageSetup paperSize="9" orientation="portrait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K135"/>
  <sheetViews>
    <sheetView workbookViewId="0">
      <selection activeCell="C5" sqref="C5"/>
    </sheetView>
  </sheetViews>
  <sheetFormatPr defaultColWidth="9" defaultRowHeight="13.5"/>
  <cols>
    <col min="1" max="1" width="3.625" style="2" customWidth="1"/>
    <col min="2" max="2" width="18" style="2" customWidth="1"/>
    <col min="3" max="3" width="20" style="2" customWidth="1"/>
    <col min="4" max="4" width="18.625" style="2" customWidth="1"/>
    <col min="5" max="5" width="22.125" style="2" customWidth="1"/>
    <col min="6" max="6" width="9" style="2"/>
    <col min="7" max="15" width="2.625" style="2" customWidth="1"/>
    <col min="16" max="16384" width="9" style="2"/>
  </cols>
  <sheetData>
    <row r="1" spans="1:5">
      <c r="A1" s="3"/>
    </row>
    <row r="3" spans="1:5">
      <c r="B3" s="4" t="s">
        <v>28</v>
      </c>
      <c r="C3" s="116" t="s">
        <v>227</v>
      </c>
      <c r="D3" s="116"/>
      <c r="E3" s="116"/>
    </row>
    <row r="4" spans="1:5">
      <c r="B4" s="4" t="s">
        <v>30</v>
      </c>
      <c r="C4" s="116" t="s">
        <v>229</v>
      </c>
      <c r="D4" s="116"/>
      <c r="E4" s="116"/>
    </row>
    <row r="5" spans="1:5">
      <c r="B5" s="4" t="s">
        <v>32</v>
      </c>
      <c r="C5" s="5" t="s">
        <v>252</v>
      </c>
      <c r="D5" s="6"/>
      <c r="E5" s="7"/>
    </row>
    <row r="6" spans="1:5">
      <c r="B6" s="4" t="s">
        <v>127</v>
      </c>
      <c r="C6" s="126" t="s">
        <v>230</v>
      </c>
      <c r="D6" s="118"/>
      <c r="E6" s="119"/>
    </row>
    <row r="7" spans="1:5" ht="39.75" customHeight="1">
      <c r="B7" s="4" t="s">
        <v>34</v>
      </c>
      <c r="C7" s="120" t="s">
        <v>222</v>
      </c>
      <c r="D7" s="120"/>
      <c r="E7" s="120"/>
    </row>
    <row r="8" spans="1:5" ht="25.5" customHeight="1">
      <c r="B8" s="4" t="s">
        <v>36</v>
      </c>
      <c r="C8" s="120"/>
      <c r="D8" s="120"/>
      <c r="E8" s="120"/>
    </row>
    <row r="9" spans="1:5">
      <c r="B9" s="114" t="s">
        <v>37</v>
      </c>
      <c r="C9" s="114"/>
      <c r="D9" s="114"/>
      <c r="E9" s="114"/>
    </row>
    <row r="10" spans="1:5">
      <c r="B10" s="8" t="s">
        <v>38</v>
      </c>
      <c r="C10" s="8" t="s">
        <v>39</v>
      </c>
      <c r="D10" s="8" t="s">
        <v>40</v>
      </c>
      <c r="E10" s="8" t="s">
        <v>41</v>
      </c>
    </row>
    <row r="11" spans="1:5">
      <c r="B11" s="9" t="s">
        <v>254</v>
      </c>
      <c r="C11" s="10" t="s">
        <v>255</v>
      </c>
      <c r="D11" s="11" t="s">
        <v>43</v>
      </c>
      <c r="E11" s="11" t="s">
        <v>44</v>
      </c>
    </row>
    <row r="12" spans="1:5">
      <c r="B12" s="12" t="s">
        <v>310</v>
      </c>
      <c r="C12" s="12" t="s">
        <v>262</v>
      </c>
      <c r="D12" s="9" t="s">
        <v>258</v>
      </c>
      <c r="E12" s="11" t="s">
        <v>44</v>
      </c>
    </row>
    <row r="13" spans="1:5">
      <c r="B13" s="12" t="s">
        <v>274</v>
      </c>
      <c r="C13" s="12" t="s">
        <v>279</v>
      </c>
      <c r="D13" s="9" t="s">
        <v>280</v>
      </c>
      <c r="E13" s="9" t="s">
        <v>266</v>
      </c>
    </row>
    <row r="14" spans="1:5">
      <c r="B14" s="13"/>
      <c r="C14" s="13"/>
      <c r="D14" s="11"/>
      <c r="E14" s="11"/>
    </row>
    <row r="15" spans="1:5">
      <c r="B15" s="13"/>
      <c r="C15" s="13"/>
      <c r="D15" s="11"/>
      <c r="E15" s="11"/>
    </row>
    <row r="16" spans="1:5">
      <c r="B16" s="13"/>
      <c r="C16" s="13"/>
      <c r="D16" s="11"/>
      <c r="E16" s="11"/>
    </row>
    <row r="17" spans="2:5">
      <c r="B17" s="13"/>
      <c r="C17" s="13"/>
      <c r="D17" s="11"/>
      <c r="E17" s="11"/>
    </row>
    <row r="18" spans="2:5">
      <c r="B18" s="13"/>
      <c r="C18" s="13"/>
      <c r="D18" s="11"/>
      <c r="E18" s="11"/>
    </row>
    <row r="19" spans="2:5">
      <c r="B19" s="13"/>
      <c r="C19" s="13"/>
      <c r="D19" s="11"/>
      <c r="E19" s="11"/>
    </row>
    <row r="20" spans="2:5">
      <c r="B20" s="13"/>
      <c r="C20" s="13"/>
      <c r="D20" s="11"/>
      <c r="E20" s="11"/>
    </row>
    <row r="21" spans="2:5" ht="27.75" customHeight="1">
      <c r="B21" s="14" t="s">
        <v>57</v>
      </c>
      <c r="C21" s="115"/>
      <c r="D21" s="115"/>
      <c r="E21" s="115"/>
    </row>
    <row r="22" spans="2:5">
      <c r="B22" s="114" t="s">
        <v>59</v>
      </c>
      <c r="C22" s="114"/>
      <c r="D22" s="114"/>
      <c r="E22" s="114"/>
    </row>
    <row r="23" spans="2:5">
      <c r="B23" s="8" t="s">
        <v>38</v>
      </c>
      <c r="C23" s="8" t="s">
        <v>39</v>
      </c>
      <c r="D23" s="8" t="s">
        <v>40</v>
      </c>
      <c r="E23" s="8" t="s">
        <v>41</v>
      </c>
    </row>
    <row r="24" spans="2:5">
      <c r="B24" s="15" t="s">
        <v>60</v>
      </c>
      <c r="C24" s="16" t="str">
        <f>IFERROR(VLOOKUP(B24,[1]字段定义字典!B:I,8,FALSE),"")</f>
        <v>code</v>
      </c>
      <c r="D24" s="15" t="s">
        <v>43</v>
      </c>
      <c r="E24" s="15" t="s">
        <v>61</v>
      </c>
    </row>
    <row r="25" spans="2:5">
      <c r="B25" s="15" t="s">
        <v>62</v>
      </c>
      <c r="C25" s="16" t="str">
        <f>IFERROR(VLOOKUP(B25,[1]字段定义字典!B:I,8,FALSE),"")</f>
        <v>msg</v>
      </c>
      <c r="D25" s="15" t="s">
        <v>43</v>
      </c>
      <c r="E25" s="15" t="s">
        <v>63</v>
      </c>
    </row>
    <row r="26" spans="2:5">
      <c r="B26" s="15"/>
      <c r="C26" s="16"/>
      <c r="D26" s="15"/>
      <c r="E26" s="15"/>
    </row>
    <row r="27" spans="2:5">
      <c r="B27" s="17"/>
      <c r="C27" s="18"/>
      <c r="D27" s="15"/>
      <c r="E27" s="15"/>
    </row>
    <row r="28" spans="2:5">
      <c r="B28" s="19"/>
      <c r="C28" s="20"/>
      <c r="D28" s="15"/>
      <c r="E28" s="21"/>
    </row>
    <row r="29" spans="2:5">
      <c r="B29" s="21"/>
      <c r="C29" s="16"/>
      <c r="D29" s="21"/>
      <c r="E29" s="21"/>
    </row>
    <row r="30" spans="2:5" ht="21.75" customHeight="1">
      <c r="B30" s="14" t="s">
        <v>64</v>
      </c>
      <c r="C30" s="115" t="s">
        <v>65</v>
      </c>
      <c r="D30" s="115"/>
      <c r="E30" s="115"/>
    </row>
    <row r="39" ht="14.25" customHeight="1"/>
    <row r="40" ht="14.25" customHeight="1"/>
    <row r="41" ht="14.25" customHeight="1"/>
    <row r="42" s="1" customFormat="1" ht="14.25" customHeight="1"/>
    <row r="49" ht="14.25" customHeight="1"/>
    <row r="50" ht="14.25" customHeight="1"/>
    <row r="51" ht="14.25" customHeight="1"/>
    <row r="52" s="1" customFormat="1" ht="14.25" customHeight="1"/>
    <row r="66" spans="11:11">
      <c r="K66" s="1"/>
    </row>
    <row r="110" spans="4:4">
      <c r="D110" s="1"/>
    </row>
    <row r="116" spans="5:5">
      <c r="E116" s="1"/>
    </row>
    <row r="135" spans="4:4">
      <c r="D135" s="1"/>
    </row>
  </sheetData>
  <mergeCells count="9">
    <mergeCell ref="B9:E9"/>
    <mergeCell ref="C21:E21"/>
    <mergeCell ref="B22:E22"/>
    <mergeCell ref="C30:E30"/>
    <mergeCell ref="C3:E3"/>
    <mergeCell ref="C4:E4"/>
    <mergeCell ref="C6:E6"/>
    <mergeCell ref="C7:E7"/>
    <mergeCell ref="C8:E8"/>
  </mergeCells>
  <phoneticPr fontId="38" type="noConversion"/>
  <pageMargins left="0.69930555555555596" right="0.69930555555555596" top="0.75" bottom="0.75" header="0.3" footer="0.3"/>
  <pageSetup paperSize="9" orientation="portrait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K135"/>
  <sheetViews>
    <sheetView workbookViewId="0"/>
  </sheetViews>
  <sheetFormatPr defaultColWidth="9" defaultRowHeight="13.5"/>
  <cols>
    <col min="1" max="1" width="3.625" style="2" customWidth="1"/>
    <col min="2" max="2" width="18" style="2" customWidth="1"/>
    <col min="3" max="3" width="20" style="2" customWidth="1"/>
    <col min="4" max="4" width="18.625" style="2" customWidth="1"/>
    <col min="5" max="5" width="22.125" style="2" customWidth="1"/>
    <col min="6" max="6" width="9" style="2"/>
    <col min="7" max="15" width="2.625" style="2" customWidth="1"/>
    <col min="16" max="16384" width="9" style="2"/>
  </cols>
  <sheetData>
    <row r="1" spans="1:5">
      <c r="A1" s="3"/>
    </row>
    <row r="3" spans="1:5">
      <c r="B3" s="4" t="s">
        <v>28</v>
      </c>
      <c r="C3" s="116" t="s">
        <v>231</v>
      </c>
      <c r="D3" s="116"/>
      <c r="E3" s="116"/>
    </row>
    <row r="4" spans="1:5">
      <c r="B4" s="4" t="s">
        <v>30</v>
      </c>
      <c r="C4" s="116" t="s">
        <v>233</v>
      </c>
      <c r="D4" s="116"/>
      <c r="E4" s="116"/>
    </row>
    <row r="5" spans="1:5">
      <c r="B5" s="4" t="s">
        <v>32</v>
      </c>
      <c r="C5" s="5" t="s">
        <v>252</v>
      </c>
      <c r="D5" s="6"/>
      <c r="E5" s="7"/>
    </row>
    <row r="6" spans="1:5">
      <c r="B6" s="4" t="s">
        <v>127</v>
      </c>
      <c r="C6" s="126" t="s">
        <v>234</v>
      </c>
      <c r="D6" s="118"/>
      <c r="E6" s="119"/>
    </row>
    <row r="7" spans="1:5" ht="39.75" customHeight="1">
      <c r="B7" s="4" t="s">
        <v>34</v>
      </c>
      <c r="C7" s="120" t="s">
        <v>222</v>
      </c>
      <c r="D7" s="120"/>
      <c r="E7" s="120"/>
    </row>
    <row r="8" spans="1:5" ht="25.5" customHeight="1">
      <c r="B8" s="4" t="s">
        <v>36</v>
      </c>
      <c r="C8" s="120"/>
      <c r="D8" s="120"/>
      <c r="E8" s="120"/>
    </row>
    <row r="9" spans="1:5">
      <c r="B9" s="114" t="s">
        <v>37</v>
      </c>
      <c r="C9" s="114"/>
      <c r="D9" s="114"/>
      <c r="E9" s="114"/>
    </row>
    <row r="10" spans="1:5">
      <c r="B10" s="8" t="s">
        <v>38</v>
      </c>
      <c r="C10" s="8" t="s">
        <v>39</v>
      </c>
      <c r="D10" s="8" t="s">
        <v>40</v>
      </c>
      <c r="E10" s="8" t="s">
        <v>41</v>
      </c>
    </row>
    <row r="11" spans="1:5">
      <c r="B11" s="9" t="s">
        <v>254</v>
      </c>
      <c r="C11" s="10" t="s">
        <v>255</v>
      </c>
      <c r="D11" s="11" t="s">
        <v>43</v>
      </c>
      <c r="E11" s="11" t="s">
        <v>44</v>
      </c>
    </row>
    <row r="12" spans="1:5">
      <c r="B12" s="12" t="s">
        <v>310</v>
      </c>
      <c r="C12" s="12" t="s">
        <v>262</v>
      </c>
      <c r="D12" s="9" t="s">
        <v>258</v>
      </c>
      <c r="E12" s="11" t="s">
        <v>44</v>
      </c>
    </row>
    <row r="13" spans="1:5">
      <c r="B13" s="13"/>
      <c r="C13" s="22"/>
      <c r="D13" s="11"/>
      <c r="E13" s="11"/>
    </row>
    <row r="14" spans="1:5">
      <c r="B14" s="13"/>
      <c r="C14" s="13"/>
      <c r="D14" s="11"/>
      <c r="E14" s="11"/>
    </row>
    <row r="15" spans="1:5">
      <c r="B15" s="13"/>
      <c r="C15" s="13"/>
      <c r="D15" s="11"/>
      <c r="E15" s="11"/>
    </row>
    <row r="16" spans="1:5">
      <c r="B16" s="13"/>
      <c r="C16" s="13"/>
      <c r="D16" s="11"/>
      <c r="E16" s="11"/>
    </row>
    <row r="17" spans="2:5">
      <c r="B17" s="13"/>
      <c r="C17" s="13"/>
      <c r="D17" s="11"/>
      <c r="E17" s="11"/>
    </row>
    <row r="18" spans="2:5">
      <c r="B18" s="13"/>
      <c r="C18" s="13"/>
      <c r="D18" s="11"/>
      <c r="E18" s="11"/>
    </row>
    <row r="19" spans="2:5">
      <c r="B19" s="13"/>
      <c r="C19" s="13"/>
      <c r="D19" s="11"/>
      <c r="E19" s="11"/>
    </row>
    <row r="20" spans="2:5">
      <c r="B20" s="13"/>
      <c r="C20" s="13"/>
      <c r="D20" s="11"/>
      <c r="E20" s="11"/>
    </row>
    <row r="21" spans="2:5" ht="27.75" customHeight="1">
      <c r="B21" s="14" t="s">
        <v>57</v>
      </c>
      <c r="C21" s="115"/>
      <c r="D21" s="115"/>
      <c r="E21" s="115"/>
    </row>
    <row r="22" spans="2:5">
      <c r="B22" s="114" t="s">
        <v>59</v>
      </c>
      <c r="C22" s="114"/>
      <c r="D22" s="114"/>
      <c r="E22" s="114"/>
    </row>
    <row r="23" spans="2:5">
      <c r="B23" s="8" t="s">
        <v>38</v>
      </c>
      <c r="C23" s="8" t="s">
        <v>39</v>
      </c>
      <c r="D23" s="8" t="s">
        <v>40</v>
      </c>
      <c r="E23" s="8" t="s">
        <v>41</v>
      </c>
    </row>
    <row r="24" spans="2:5">
      <c r="B24" s="15" t="s">
        <v>60</v>
      </c>
      <c r="C24" s="16" t="str">
        <f>IFERROR(VLOOKUP(B24,[1]字段定义字典!B:I,8,FALSE),"")</f>
        <v>code</v>
      </c>
      <c r="D24" s="15" t="s">
        <v>43</v>
      </c>
      <c r="E24" s="15" t="s">
        <v>61</v>
      </c>
    </row>
    <row r="25" spans="2:5">
      <c r="B25" s="15" t="s">
        <v>62</v>
      </c>
      <c r="C25" s="16" t="str">
        <f>IFERROR(VLOOKUP(B25,[1]字段定义字典!B:I,8,FALSE),"")</f>
        <v>msg</v>
      </c>
      <c r="D25" s="15" t="s">
        <v>43</v>
      </c>
      <c r="E25" s="15" t="s">
        <v>63</v>
      </c>
    </row>
    <row r="26" spans="2:5">
      <c r="B26" s="15"/>
      <c r="C26" s="16"/>
      <c r="D26" s="15"/>
      <c r="E26" s="15"/>
    </row>
    <row r="27" spans="2:5">
      <c r="B27" s="17"/>
      <c r="C27" s="18"/>
      <c r="D27" s="15"/>
      <c r="E27" s="15"/>
    </row>
    <row r="28" spans="2:5">
      <c r="B28" s="19"/>
      <c r="C28" s="20"/>
      <c r="D28" s="15"/>
      <c r="E28" s="21"/>
    </row>
    <row r="29" spans="2:5">
      <c r="B29" s="21"/>
      <c r="C29" s="16"/>
      <c r="D29" s="21"/>
      <c r="E29" s="21"/>
    </row>
    <row r="30" spans="2:5" ht="21.75" customHeight="1">
      <c r="B30" s="14" t="s">
        <v>64</v>
      </c>
      <c r="C30" s="115" t="s">
        <v>65</v>
      </c>
      <c r="D30" s="115"/>
      <c r="E30" s="115"/>
    </row>
    <row r="39" ht="14.25" customHeight="1"/>
    <row r="40" ht="14.25" customHeight="1"/>
    <row r="41" ht="14.25" customHeight="1"/>
    <row r="42" s="1" customFormat="1" ht="14.25" customHeight="1"/>
    <row r="49" ht="14.25" customHeight="1"/>
    <row r="50" ht="14.25" customHeight="1"/>
    <row r="51" ht="14.25" customHeight="1"/>
    <row r="52" s="1" customFormat="1" ht="14.25" customHeight="1"/>
    <row r="66" spans="11:11">
      <c r="K66" s="1"/>
    </row>
    <row r="110" spans="4:4">
      <c r="D110" s="1"/>
    </row>
    <row r="116" spans="5:5">
      <c r="E116" s="1"/>
    </row>
    <row r="135" spans="4:4">
      <c r="D135" s="1"/>
    </row>
  </sheetData>
  <mergeCells count="9">
    <mergeCell ref="B9:E9"/>
    <mergeCell ref="C21:E21"/>
    <mergeCell ref="B22:E22"/>
    <mergeCell ref="C30:E30"/>
    <mergeCell ref="C3:E3"/>
    <mergeCell ref="C4:E4"/>
    <mergeCell ref="C6:E6"/>
    <mergeCell ref="C7:E7"/>
    <mergeCell ref="C8:E8"/>
  </mergeCells>
  <phoneticPr fontId="38" type="noConversion"/>
  <pageMargins left="0.69930555555555596" right="0.69930555555555596" top="0.75" bottom="0.75" header="0.3" footer="0.3"/>
  <pageSetup paperSize="9" orientation="portrait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K135"/>
  <sheetViews>
    <sheetView workbookViewId="0">
      <selection activeCell="J18" sqref="J18"/>
    </sheetView>
  </sheetViews>
  <sheetFormatPr defaultColWidth="9" defaultRowHeight="13.5"/>
  <cols>
    <col min="1" max="1" width="3.625" style="2" customWidth="1"/>
    <col min="2" max="2" width="18" style="2" customWidth="1"/>
    <col min="3" max="3" width="20" style="2" customWidth="1"/>
    <col min="4" max="4" width="18.625" style="2" customWidth="1"/>
    <col min="5" max="5" width="22.125" style="2" customWidth="1"/>
    <col min="6" max="6" width="9" style="2"/>
    <col min="7" max="15" width="2.625" style="2" customWidth="1"/>
    <col min="16" max="16384" width="9" style="2"/>
  </cols>
  <sheetData>
    <row r="1" spans="1:5">
      <c r="A1" s="3"/>
    </row>
    <row r="3" spans="1:5">
      <c r="B3" s="4" t="s">
        <v>28</v>
      </c>
      <c r="C3" s="122" t="s">
        <v>235</v>
      </c>
      <c r="D3" s="116"/>
      <c r="E3" s="116"/>
    </row>
    <row r="4" spans="1:5">
      <c r="B4" s="4" t="s">
        <v>30</v>
      </c>
      <c r="C4" s="116" t="s">
        <v>237</v>
      </c>
      <c r="D4" s="116"/>
      <c r="E4" s="116"/>
    </row>
    <row r="5" spans="1:5">
      <c r="B5" s="4" t="s">
        <v>32</v>
      </c>
      <c r="C5" s="5" t="s">
        <v>252</v>
      </c>
      <c r="D5" s="6"/>
      <c r="E5" s="7"/>
    </row>
    <row r="6" spans="1:5">
      <c r="B6" s="4" t="s">
        <v>127</v>
      </c>
      <c r="C6" s="126" t="s">
        <v>238</v>
      </c>
      <c r="D6" s="118"/>
      <c r="E6" s="119"/>
    </row>
    <row r="7" spans="1:5" ht="39.75" customHeight="1">
      <c r="B7" s="4" t="s">
        <v>34</v>
      </c>
      <c r="C7" s="120" t="s">
        <v>222</v>
      </c>
      <c r="D7" s="120"/>
      <c r="E7" s="120"/>
    </row>
    <row r="8" spans="1:5" ht="25.5" customHeight="1">
      <c r="B8" s="4" t="s">
        <v>36</v>
      </c>
      <c r="C8" s="120"/>
      <c r="D8" s="120"/>
      <c r="E8" s="120"/>
    </row>
    <row r="9" spans="1:5">
      <c r="B9" s="114" t="s">
        <v>37</v>
      </c>
      <c r="C9" s="114"/>
      <c r="D9" s="114"/>
      <c r="E9" s="114"/>
    </row>
    <row r="10" spans="1:5">
      <c r="B10" s="8" t="s">
        <v>38</v>
      </c>
      <c r="C10" s="8" t="s">
        <v>39</v>
      </c>
      <c r="D10" s="8" t="s">
        <v>40</v>
      </c>
      <c r="E10" s="8" t="s">
        <v>41</v>
      </c>
    </row>
    <row r="11" spans="1:5">
      <c r="B11" s="9" t="s">
        <v>254</v>
      </c>
      <c r="C11" s="10" t="s">
        <v>255</v>
      </c>
      <c r="D11" s="11" t="s">
        <v>43</v>
      </c>
      <c r="E11" s="11" t="s">
        <v>44</v>
      </c>
    </row>
    <row r="12" spans="1:5">
      <c r="B12" s="12" t="s">
        <v>310</v>
      </c>
      <c r="C12" s="12" t="s">
        <v>262</v>
      </c>
      <c r="D12" s="9" t="s">
        <v>258</v>
      </c>
      <c r="E12" s="11" t="s">
        <v>44</v>
      </c>
    </row>
    <row r="13" spans="1:5">
      <c r="B13" s="12" t="s">
        <v>312</v>
      </c>
      <c r="C13" s="12" t="s">
        <v>313</v>
      </c>
      <c r="D13" s="9" t="s">
        <v>43</v>
      </c>
      <c r="E13" s="9" t="s">
        <v>44</v>
      </c>
    </row>
    <row r="14" spans="1:5">
      <c r="B14" s="12" t="s">
        <v>274</v>
      </c>
      <c r="C14" s="12" t="s">
        <v>264</v>
      </c>
      <c r="D14" s="9" t="s">
        <v>280</v>
      </c>
      <c r="E14" s="9" t="s">
        <v>266</v>
      </c>
    </row>
    <row r="15" spans="1:5">
      <c r="B15" s="13"/>
      <c r="C15" s="13"/>
      <c r="D15" s="11"/>
      <c r="E15" s="11"/>
    </row>
    <row r="16" spans="1:5">
      <c r="B16" s="13"/>
      <c r="C16" s="13"/>
      <c r="D16" s="11"/>
      <c r="E16" s="11"/>
    </row>
    <row r="17" spans="2:5">
      <c r="B17" s="13"/>
      <c r="C17" s="13"/>
      <c r="D17" s="11"/>
      <c r="E17" s="11"/>
    </row>
    <row r="18" spans="2:5">
      <c r="B18" s="13"/>
      <c r="C18" s="13"/>
      <c r="D18" s="11"/>
      <c r="E18" s="11"/>
    </row>
    <row r="19" spans="2:5">
      <c r="B19" s="13"/>
      <c r="C19" s="13"/>
      <c r="D19" s="11"/>
      <c r="E19" s="11"/>
    </row>
    <row r="20" spans="2:5">
      <c r="B20" s="13"/>
      <c r="C20" s="13"/>
      <c r="D20" s="11"/>
      <c r="E20" s="11"/>
    </row>
    <row r="21" spans="2:5" ht="27.75" customHeight="1">
      <c r="B21" s="14" t="s">
        <v>57</v>
      </c>
      <c r="C21" s="115"/>
      <c r="D21" s="115"/>
      <c r="E21" s="115"/>
    </row>
    <row r="22" spans="2:5">
      <c r="B22" s="114" t="s">
        <v>59</v>
      </c>
      <c r="C22" s="114"/>
      <c r="D22" s="114"/>
      <c r="E22" s="114"/>
    </row>
    <row r="23" spans="2:5">
      <c r="B23" s="8" t="s">
        <v>38</v>
      </c>
      <c r="C23" s="8" t="s">
        <v>39</v>
      </c>
      <c r="D23" s="8" t="s">
        <v>40</v>
      </c>
      <c r="E23" s="8" t="s">
        <v>41</v>
      </c>
    </row>
    <row r="24" spans="2:5">
      <c r="B24" s="15" t="s">
        <v>60</v>
      </c>
      <c r="C24" s="16" t="str">
        <f>IFERROR(VLOOKUP(B24,[1]字段定义字典!B:I,8,FALSE),"")</f>
        <v>code</v>
      </c>
      <c r="D24" s="15" t="s">
        <v>43</v>
      </c>
      <c r="E24" s="15" t="s">
        <v>61</v>
      </c>
    </row>
    <row r="25" spans="2:5">
      <c r="B25" s="15" t="s">
        <v>62</v>
      </c>
      <c r="C25" s="16" t="str">
        <f>IFERROR(VLOOKUP(B25,[1]字段定义字典!B:I,8,FALSE),"")</f>
        <v>msg</v>
      </c>
      <c r="D25" s="15" t="s">
        <v>43</v>
      </c>
      <c r="E25" s="15" t="s">
        <v>63</v>
      </c>
    </row>
    <row r="26" spans="2:5">
      <c r="B26" s="15"/>
      <c r="C26" s="16"/>
      <c r="D26" s="15"/>
      <c r="E26" s="15"/>
    </row>
    <row r="27" spans="2:5">
      <c r="B27" s="17"/>
      <c r="C27" s="18"/>
      <c r="D27" s="15"/>
      <c r="E27" s="15"/>
    </row>
    <row r="28" spans="2:5">
      <c r="B28" s="19"/>
      <c r="C28" s="20"/>
      <c r="D28" s="15"/>
      <c r="E28" s="21"/>
    </row>
    <row r="29" spans="2:5">
      <c r="B29" s="21"/>
      <c r="C29" s="16"/>
      <c r="D29" s="21"/>
      <c r="E29" s="21"/>
    </row>
    <row r="30" spans="2:5" ht="21.75" customHeight="1">
      <c r="B30" s="14" t="s">
        <v>64</v>
      </c>
      <c r="C30" s="115" t="s">
        <v>65</v>
      </c>
      <c r="D30" s="115"/>
      <c r="E30" s="115"/>
    </row>
    <row r="39" ht="14.25" customHeight="1"/>
    <row r="40" ht="14.25" customHeight="1"/>
    <row r="41" ht="14.25" customHeight="1"/>
    <row r="42" s="1" customFormat="1" ht="14.25" customHeight="1"/>
    <row r="49" ht="14.25" customHeight="1"/>
    <row r="50" ht="14.25" customHeight="1"/>
    <row r="51" ht="14.25" customHeight="1"/>
    <row r="52" s="1" customFormat="1" ht="14.25" customHeight="1"/>
    <row r="66" spans="11:11">
      <c r="K66" s="1"/>
    </row>
    <row r="110" spans="4:4">
      <c r="D110" s="1"/>
    </row>
    <row r="116" spans="5:5">
      <c r="E116" s="1"/>
    </row>
    <row r="135" spans="4:4">
      <c r="D135" s="1"/>
    </row>
  </sheetData>
  <mergeCells count="9">
    <mergeCell ref="B9:E9"/>
    <mergeCell ref="C21:E21"/>
    <mergeCell ref="B22:E22"/>
    <mergeCell ref="C30:E30"/>
    <mergeCell ref="C3:E3"/>
    <mergeCell ref="C4:E4"/>
    <mergeCell ref="C6:E6"/>
    <mergeCell ref="C7:E7"/>
    <mergeCell ref="C8:E8"/>
  </mergeCells>
  <phoneticPr fontId="38" type="noConversion"/>
  <pageMargins left="0.69930555555555596" right="0.69930555555555596" top="0.75" bottom="0.75" header="0.3" footer="0.3"/>
  <pageSetup paperSize="9" orientation="portrait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K135"/>
  <sheetViews>
    <sheetView workbookViewId="0"/>
  </sheetViews>
  <sheetFormatPr defaultColWidth="9" defaultRowHeight="13.5"/>
  <cols>
    <col min="1" max="1" width="3.625" style="2" customWidth="1"/>
    <col min="2" max="2" width="18" style="2" customWidth="1"/>
    <col min="3" max="3" width="20" style="2" customWidth="1"/>
    <col min="4" max="4" width="18.625" style="2" customWidth="1"/>
    <col min="5" max="5" width="22.125" style="2" customWidth="1"/>
    <col min="6" max="6" width="9" style="2"/>
    <col min="7" max="15" width="2.625" style="2" customWidth="1"/>
    <col min="16" max="16384" width="9" style="2"/>
  </cols>
  <sheetData>
    <row r="1" spans="1:5">
      <c r="A1" s="3"/>
    </row>
    <row r="3" spans="1:5">
      <c r="B3" s="4" t="s">
        <v>28</v>
      </c>
      <c r="C3" s="116" t="s">
        <v>239</v>
      </c>
      <c r="D3" s="116"/>
      <c r="E3" s="116"/>
    </row>
    <row r="4" spans="1:5">
      <c r="B4" s="4" t="s">
        <v>30</v>
      </c>
      <c r="C4" s="116" t="s">
        <v>241</v>
      </c>
      <c r="D4" s="116"/>
      <c r="E4" s="116"/>
    </row>
    <row r="5" spans="1:5">
      <c r="B5" s="4" t="s">
        <v>32</v>
      </c>
      <c r="C5" s="5" t="s">
        <v>252</v>
      </c>
      <c r="D5" s="6"/>
      <c r="E5" s="7"/>
    </row>
    <row r="6" spans="1:5">
      <c r="B6" s="4" t="s">
        <v>127</v>
      </c>
      <c r="C6" s="126" t="s">
        <v>242</v>
      </c>
      <c r="D6" s="118"/>
      <c r="E6" s="119"/>
    </row>
    <row r="7" spans="1:5" ht="39.75" customHeight="1">
      <c r="B7" s="4" t="s">
        <v>34</v>
      </c>
      <c r="C7" s="120" t="s">
        <v>243</v>
      </c>
      <c r="D7" s="120"/>
      <c r="E7" s="120"/>
    </row>
    <row r="8" spans="1:5" ht="25.5" customHeight="1">
      <c r="B8" s="4" t="s">
        <v>36</v>
      </c>
      <c r="C8" s="120"/>
      <c r="D8" s="120"/>
      <c r="E8" s="120"/>
    </row>
    <row r="9" spans="1:5">
      <c r="B9" s="114" t="s">
        <v>37</v>
      </c>
      <c r="C9" s="114"/>
      <c r="D9" s="114"/>
      <c r="E9" s="114"/>
    </row>
    <row r="10" spans="1:5">
      <c r="B10" s="8" t="s">
        <v>38</v>
      </c>
      <c r="C10" s="8" t="s">
        <v>39</v>
      </c>
      <c r="D10" s="8" t="s">
        <v>40</v>
      </c>
      <c r="E10" s="8" t="s">
        <v>41</v>
      </c>
    </row>
    <row r="11" spans="1:5">
      <c r="B11" s="9" t="s">
        <v>254</v>
      </c>
      <c r="C11" s="10" t="s">
        <v>255</v>
      </c>
      <c r="D11" s="11" t="s">
        <v>43</v>
      </c>
      <c r="E11" s="11" t="s">
        <v>44</v>
      </c>
    </row>
    <row r="12" spans="1:5">
      <c r="B12" s="12" t="s">
        <v>314</v>
      </c>
      <c r="C12" s="12" t="s">
        <v>294</v>
      </c>
      <c r="D12" s="9" t="s">
        <v>295</v>
      </c>
      <c r="E12" s="11"/>
    </row>
    <row r="13" spans="1:5">
      <c r="B13" s="12" t="s">
        <v>315</v>
      </c>
      <c r="C13" s="12" t="s">
        <v>297</v>
      </c>
      <c r="D13" s="9" t="s">
        <v>298</v>
      </c>
      <c r="E13" s="11"/>
    </row>
    <row r="14" spans="1:5">
      <c r="B14" s="13"/>
      <c r="C14" s="12" t="s">
        <v>300</v>
      </c>
      <c r="D14" s="9" t="s">
        <v>270</v>
      </c>
      <c r="E14" s="11"/>
    </row>
    <row r="15" spans="1:5">
      <c r="B15" s="13"/>
      <c r="C15" s="12" t="s">
        <v>301</v>
      </c>
      <c r="D15" s="9" t="s">
        <v>270</v>
      </c>
      <c r="E15" s="11"/>
    </row>
    <row r="16" spans="1:5">
      <c r="B16" s="13"/>
      <c r="C16" s="13"/>
      <c r="D16" s="11"/>
      <c r="E16" s="11"/>
    </row>
    <row r="17" spans="2:5">
      <c r="B17" s="13"/>
      <c r="C17" s="13"/>
      <c r="D17" s="11"/>
      <c r="E17" s="11"/>
    </row>
    <row r="18" spans="2:5">
      <c r="B18" s="13"/>
      <c r="C18" s="13"/>
      <c r="D18" s="11"/>
      <c r="E18" s="11"/>
    </row>
    <row r="19" spans="2:5">
      <c r="B19" s="13"/>
      <c r="C19" s="13"/>
      <c r="D19" s="11"/>
      <c r="E19" s="11"/>
    </row>
    <row r="20" spans="2:5">
      <c r="B20" s="13"/>
      <c r="C20" s="13"/>
      <c r="D20" s="11"/>
      <c r="E20" s="11"/>
    </row>
    <row r="21" spans="2:5" ht="27.75" customHeight="1">
      <c r="B21" s="14" t="s">
        <v>57</v>
      </c>
      <c r="C21" s="115"/>
      <c r="D21" s="115"/>
      <c r="E21" s="115"/>
    </row>
    <row r="22" spans="2:5">
      <c r="B22" s="114" t="s">
        <v>59</v>
      </c>
      <c r="C22" s="114"/>
      <c r="D22" s="114"/>
      <c r="E22" s="114"/>
    </row>
    <row r="23" spans="2:5">
      <c r="B23" s="8" t="s">
        <v>38</v>
      </c>
      <c r="C23" s="8" t="s">
        <v>39</v>
      </c>
      <c r="D23" s="8" t="s">
        <v>40</v>
      </c>
      <c r="E23" s="8" t="s">
        <v>41</v>
      </c>
    </row>
    <row r="24" spans="2:5">
      <c r="B24" s="15" t="s">
        <v>60</v>
      </c>
      <c r="C24" s="16" t="str">
        <f>IFERROR(VLOOKUP(B24,[1]字段定义字典!B:I,8,FALSE),"")</f>
        <v>code</v>
      </c>
      <c r="D24" s="15" t="s">
        <v>43</v>
      </c>
      <c r="E24" s="15" t="s">
        <v>61</v>
      </c>
    </row>
    <row r="25" spans="2:5">
      <c r="B25" s="15" t="s">
        <v>62</v>
      </c>
      <c r="C25" s="16" t="str">
        <f>IFERROR(VLOOKUP(B25,[1]字段定义字典!B:I,8,FALSE),"")</f>
        <v>msg</v>
      </c>
      <c r="D25" s="15" t="s">
        <v>43</v>
      </c>
      <c r="E25" s="15" t="s">
        <v>63</v>
      </c>
    </row>
    <row r="26" spans="2:5">
      <c r="B26" s="15"/>
      <c r="C26" s="16"/>
      <c r="D26" s="15"/>
      <c r="E26" s="15"/>
    </row>
    <row r="27" spans="2:5">
      <c r="B27" s="17"/>
      <c r="C27" s="18"/>
      <c r="D27" s="15"/>
      <c r="E27" s="15"/>
    </row>
    <row r="28" spans="2:5">
      <c r="B28" s="19"/>
      <c r="C28" s="20"/>
      <c r="D28" s="15"/>
      <c r="E28" s="21"/>
    </row>
    <row r="29" spans="2:5">
      <c r="B29" s="21"/>
      <c r="C29" s="16"/>
      <c r="D29" s="21"/>
      <c r="E29" s="21"/>
    </row>
    <row r="30" spans="2:5" ht="21.75" customHeight="1">
      <c r="B30" s="14" t="s">
        <v>64</v>
      </c>
      <c r="C30" s="115" t="s">
        <v>65</v>
      </c>
      <c r="D30" s="115"/>
      <c r="E30" s="115"/>
    </row>
    <row r="39" ht="14.25" customHeight="1"/>
    <row r="40" ht="14.25" customHeight="1"/>
    <row r="41" ht="14.25" customHeight="1"/>
    <row r="42" s="1" customFormat="1" ht="14.25" customHeight="1"/>
    <row r="49" ht="14.25" customHeight="1"/>
    <row r="50" ht="14.25" customHeight="1"/>
    <row r="51" ht="14.25" customHeight="1"/>
    <row r="52" s="1" customFormat="1" ht="14.25" customHeight="1"/>
    <row r="66" spans="11:11">
      <c r="K66" s="1"/>
    </row>
    <row r="110" spans="4:4">
      <c r="D110" s="1"/>
    </row>
    <row r="116" spans="5:5">
      <c r="E116" s="1"/>
    </row>
    <row r="135" spans="4:4">
      <c r="D135" s="1"/>
    </row>
  </sheetData>
  <mergeCells count="9">
    <mergeCell ref="B9:E9"/>
    <mergeCell ref="C21:E21"/>
    <mergeCell ref="B22:E22"/>
    <mergeCell ref="C30:E30"/>
    <mergeCell ref="C3:E3"/>
    <mergeCell ref="C4:E4"/>
    <mergeCell ref="C6:E6"/>
    <mergeCell ref="C7:E7"/>
    <mergeCell ref="C8:E8"/>
  </mergeCells>
  <phoneticPr fontId="38" type="noConversion"/>
  <pageMargins left="0.69930555555555596" right="0.69930555555555596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31</vt:i4>
      </vt:variant>
    </vt:vector>
  </HeadingPairs>
  <TitlesOfParts>
    <vt:vector size="31" baseType="lpstr">
      <vt:lpstr>接口规约</vt:lpstr>
      <vt:lpstr>所有表基础接口</vt:lpstr>
      <vt:lpstr>使用系统生成接口一览</vt:lpstr>
      <vt:lpstr>画面接口</vt:lpstr>
      <vt:lpstr>接口一览</vt:lpstr>
      <vt:lpstr>模版_template</vt:lpstr>
      <vt:lpstr>登录</vt:lpstr>
      <vt:lpstr>删除角色</vt:lpstr>
      <vt:lpstr>查询角色</vt:lpstr>
      <vt:lpstr>增加角色</vt:lpstr>
      <vt:lpstr>根据id查询角色</vt:lpstr>
      <vt:lpstr>编辑角色</vt:lpstr>
      <vt:lpstr>查询用户</vt:lpstr>
      <vt:lpstr>删除用户</vt:lpstr>
      <vt:lpstr>增加用户</vt:lpstr>
      <vt:lpstr>根据id查询用户</vt:lpstr>
      <vt:lpstr>编辑用户</vt:lpstr>
      <vt:lpstr>查询权限设置</vt:lpstr>
      <vt:lpstr>会员卡充值</vt:lpstr>
      <vt:lpstr>会员卡余额详情查询</vt:lpstr>
      <vt:lpstr>会员卡梯度查询</vt:lpstr>
      <vt:lpstr>会员卡新增梯度</vt:lpstr>
      <vt:lpstr>会员卡删除梯度</vt:lpstr>
      <vt:lpstr>根据id查询会员卡梯度详情</vt:lpstr>
      <vt:lpstr>会员卡编辑梯度</vt:lpstr>
      <vt:lpstr>会员卡梯度提示语查询</vt:lpstr>
      <vt:lpstr>会员卡新增提示语</vt:lpstr>
      <vt:lpstr>会员卡删除提示语</vt:lpstr>
      <vt:lpstr>根据id查询会员卡提示语详情</vt:lpstr>
      <vt:lpstr>会员卡编辑提示语</vt:lpstr>
      <vt:lpstr>会员卡购买记录查询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jason jia</cp:lastModifiedBy>
  <dcterms:created xsi:type="dcterms:W3CDTF">2006-09-16T00:00:00Z</dcterms:created>
  <dcterms:modified xsi:type="dcterms:W3CDTF">2021-07-28T04:37:02Z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2052-11.1.0.8214</vt:lpwstr>
  </property>
</Properties>
</file>